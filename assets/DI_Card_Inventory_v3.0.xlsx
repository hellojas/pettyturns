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jjgluck\Documents\Downloads\"/>
    </mc:Choice>
  </mc:AlternateContent>
  <xr:revisionPtr revIDLastSave="0" documentId="13_ncr:1_{330AB24B-E509-4C7D-983F-E6A33CE2DA11}" xr6:coauthVersionLast="47" xr6:coauthVersionMax="47" xr10:uidLastSave="{00000000-0000-0000-0000-000000000000}"/>
  <bookViews>
    <workbookView xWindow="195" yWindow="255" windowWidth="35055" windowHeight="18420" activeTab="1" xr2:uid="{00000000-000D-0000-FFFF-FFFF00000000}"/>
  </bookViews>
  <sheets>
    <sheet name="Deck" sheetId="1" r:id="rId1"/>
    <sheet name="Deck Stats" sheetId="15" r:id="rId2"/>
    <sheet name="Unpurchasable" sheetId="14" r:id="rId3"/>
    <sheet name="Tleilaxu" sheetId="13" r:id="rId4"/>
    <sheet name="Changes and Features" sheetId="5" r:id="rId5"/>
  </sheets>
  <definedNames>
    <definedName name="_xlnm._FilterDatabase" localSheetId="0" hidden="1">Deck!$A$2:$AD$2</definedName>
    <definedName name="_xlnm._FilterDatabase" localSheetId="3" hidden="1">Tleilaxu!$A$2:$N$2</definedName>
    <definedName name="Slicer_Bene_Gesserit_Connection">#N/A</definedName>
    <definedName name="Slicer_Bene_Gesserit_Faction">#N/A</definedName>
    <definedName name="Slicer_Bene_Space">#N/A</definedName>
    <definedName name="Slicer_Blue_Space">#N/A</definedName>
    <definedName name="Slicer_Card_Source">#N/A</definedName>
    <definedName name="Slicer_Cost">#N/A</definedName>
    <definedName name="Slicer_Emperor_Faction">#N/A</definedName>
    <definedName name="Slicer_Emperor_Space">#N/A</definedName>
    <definedName name="Slicer_Fremen_Bond">#N/A</definedName>
    <definedName name="Slicer_Fremen_Faction">#N/A</definedName>
    <definedName name="Slicer_Fremen_Space">#N/A</definedName>
    <definedName name="Slicer_Graft">#N/A</definedName>
    <definedName name="Slicer_Green_Space">#N/A</definedName>
    <definedName name="Slicer_Guild_Space">#N/A</definedName>
    <definedName name="Slicer_Infiltration">#N/A</definedName>
    <definedName name="Slicer_Requires_Expansion">#N/A</definedName>
    <definedName name="Slicer_Spacing_Guild_Faction">#N/A</definedName>
    <definedName name="Slicer_Spy_Space">#N/A</definedName>
    <definedName name="Slicer_Unload">#N/A</definedName>
    <definedName name="Slicer_Yellow_Space">#N/A</definedName>
  </definedNames>
  <calcPr calcId="191029"/>
  <pivotCaches>
    <pivotCache cacheId="197"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 l="1"/>
  <c r="D1" i="1"/>
  <c r="L160" i="1"/>
  <c r="B1" i="1"/>
  <c r="N160" i="1"/>
  <c r="P160" i="1"/>
  <c r="Q160" i="1"/>
  <c r="R160" i="1"/>
  <c r="S160" i="1"/>
  <c r="T160" i="1"/>
  <c r="U160" i="1"/>
  <c r="V160" i="1"/>
  <c r="W160" i="1"/>
  <c r="X160" i="1"/>
  <c r="Y160" i="1"/>
  <c r="Z160" i="1"/>
  <c r="AA160" i="1"/>
  <c r="AB160" i="1"/>
  <c r="AC160" i="1"/>
  <c r="AD160" i="1"/>
  <c r="C1" i="1"/>
  <c r="B1"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Realcyberghost</author>
  </authors>
  <commentList>
    <comment ref="I72" authorId="0" shapeId="0" xr:uid="{00000000-0006-0000-0000-000002000000}">
      <text>
        <r>
          <rPr>
            <b/>
            <sz val="9"/>
            <color indexed="81"/>
            <rFont val="Tahoma"/>
            <family val="2"/>
          </rPr>
          <t>Realcyberghost:</t>
        </r>
        <r>
          <rPr>
            <sz val="9"/>
            <color indexed="81"/>
            <rFont val="Tahoma"/>
            <family val="2"/>
          </rPr>
          <t xml:space="preserve">
Unload = Reveal, Discard or Trash this card</t>
        </r>
      </text>
    </comment>
    <comment ref="I73" authorId="0" shapeId="0" xr:uid="{00000000-0006-0000-0000-00000A000000}">
      <text>
        <r>
          <rPr>
            <b/>
            <sz val="9"/>
            <color indexed="81"/>
            <rFont val="Tahoma"/>
            <family val="2"/>
          </rPr>
          <t>Realcyberghost:</t>
        </r>
        <r>
          <rPr>
            <sz val="9"/>
            <color indexed="81"/>
            <rFont val="Tahoma"/>
            <family val="2"/>
          </rPr>
          <t xml:space="preserve">
Unload = Reveal, Discard or Trash this card</t>
        </r>
      </text>
    </comment>
    <comment ref="G75" authorId="0" shapeId="0" xr:uid="{00000000-0006-0000-0000-000006000000}">
      <text>
        <r>
          <rPr>
            <b/>
            <sz val="9"/>
            <color indexed="81"/>
            <rFont val="Tahoma"/>
            <family val="2"/>
          </rPr>
          <t>Realcyberghost:</t>
        </r>
        <r>
          <rPr>
            <sz val="9"/>
            <color indexed="81"/>
            <rFont val="Tahoma"/>
            <family val="2"/>
          </rPr>
          <t xml:space="preserve">
With 2 Bene Gesserit Influence: Discard a card --&gt;
+1 Influence with: Emperor OR Spacing Guild OR Fremen</t>
        </r>
      </text>
    </comment>
    <comment ref="I75" authorId="0" shapeId="0" xr:uid="{00000000-0006-0000-0000-000007000000}">
      <text>
        <r>
          <rPr>
            <b/>
            <sz val="9"/>
            <color indexed="81"/>
            <rFont val="Tahoma"/>
            <family val="2"/>
          </rPr>
          <t>Realcyberghost:</t>
        </r>
        <r>
          <rPr>
            <sz val="9"/>
            <color indexed="81"/>
            <rFont val="Tahoma"/>
            <family val="2"/>
          </rPr>
          <t xml:space="preserve">
Unload = Reveal, Discard or Trash this card</t>
        </r>
      </text>
    </comment>
    <comment ref="I84" authorId="0" shapeId="0" xr:uid="{00000000-0006-0000-0000-000004000000}">
      <text>
        <r>
          <rPr>
            <b/>
            <sz val="9"/>
            <color indexed="81"/>
            <rFont val="Tahoma"/>
            <family val="2"/>
          </rPr>
          <t>Realcyberghost:</t>
        </r>
        <r>
          <rPr>
            <sz val="9"/>
            <color indexed="81"/>
            <rFont val="Tahoma"/>
            <family val="2"/>
          </rPr>
          <t xml:space="preserve">
Unload = Reveal, Discard or Trash this card</t>
        </r>
      </text>
    </comment>
    <comment ref="G87" authorId="0" shapeId="0" xr:uid="{00000000-0006-0000-0000-00000B000000}">
      <text>
        <r>
          <rPr>
            <b/>
            <sz val="9"/>
            <color indexed="81"/>
            <rFont val="Tahoma"/>
            <family val="2"/>
          </rPr>
          <t>Realcyberghost:</t>
        </r>
        <r>
          <rPr>
            <sz val="9"/>
            <color indexed="81"/>
            <rFont val="Tahoma"/>
            <family val="2"/>
          </rPr>
          <t xml:space="preserve">
With 2 Emperor Influence: +2 Solari
and
With 2 Spacing Guild Influence: Draw a card
and
With 2 Fremen Influence: +1 Water</t>
        </r>
      </text>
    </comment>
    <comment ref="I88" authorId="0" shapeId="0" xr:uid="{00000000-0006-0000-0000-000008000000}">
      <text>
        <r>
          <rPr>
            <b/>
            <sz val="9"/>
            <color indexed="81"/>
            <rFont val="Tahoma"/>
            <family val="2"/>
          </rPr>
          <t>Realcyberghost:</t>
        </r>
        <r>
          <rPr>
            <sz val="9"/>
            <color indexed="81"/>
            <rFont val="Tahoma"/>
            <family val="2"/>
          </rPr>
          <t xml:space="preserve">
Unload = Reveal, Discard or Trash this card</t>
        </r>
      </text>
    </comment>
    <comment ref="I91" authorId="0" shapeId="0" xr:uid="{00000000-0006-0000-0000-000003000000}">
      <text>
        <r>
          <rPr>
            <b/>
            <sz val="9"/>
            <color indexed="81"/>
            <rFont val="Tahoma"/>
            <family val="2"/>
          </rPr>
          <t>Realcyberghost:</t>
        </r>
        <r>
          <rPr>
            <sz val="9"/>
            <color indexed="81"/>
            <rFont val="Tahoma"/>
            <family val="2"/>
          </rPr>
          <t xml:space="preserve">
Unload = Reveal, Discard or Trash this card</t>
        </r>
      </text>
    </comment>
    <comment ref="G92" authorId="0" shapeId="0" xr:uid="{00000000-0006-0000-0000-000001000000}">
      <text>
        <r>
          <rPr>
            <b/>
            <sz val="9"/>
            <color indexed="81"/>
            <rFont val="Tahoma"/>
            <family val="2"/>
          </rPr>
          <t>Realcyberghost:</t>
        </r>
        <r>
          <rPr>
            <sz val="9"/>
            <color indexed="81"/>
            <rFont val="Tahoma"/>
            <family val="2"/>
          </rPr>
          <t xml:space="preserve">
You may use Solari instead of Spice for this purchase</t>
        </r>
      </text>
    </comment>
    <comment ref="I96" authorId="0" shapeId="0" xr:uid="{00000000-0006-0000-0000-000005000000}">
      <text>
        <r>
          <rPr>
            <b/>
            <sz val="9"/>
            <color indexed="81"/>
            <rFont val="Tahoma"/>
            <family val="2"/>
          </rPr>
          <t>Realcyberghost:</t>
        </r>
        <r>
          <rPr>
            <sz val="9"/>
            <color indexed="81"/>
            <rFont val="Tahoma"/>
            <family val="2"/>
          </rPr>
          <t xml:space="preserve">
Unload = Reveal, Discard or Trash this card</t>
        </r>
      </text>
    </comment>
    <comment ref="I97" authorId="0" shapeId="0" xr:uid="{00000000-0006-0000-0000-000009000000}">
      <text>
        <r>
          <rPr>
            <b/>
            <sz val="9"/>
            <color indexed="81"/>
            <rFont val="Tahoma"/>
            <family val="2"/>
          </rPr>
          <t>Realcyberghost:</t>
        </r>
        <r>
          <rPr>
            <sz val="9"/>
            <color indexed="81"/>
            <rFont val="Tahoma"/>
            <family val="2"/>
          </rPr>
          <t xml:space="preserve">
Unload = Reveal, Discard or Trash this card</t>
        </r>
      </text>
    </comment>
  </commentList>
</comments>
</file>

<file path=xl/sharedStrings.xml><?xml version="1.0" encoding="utf-8"?>
<sst xmlns="http://schemas.openxmlformats.org/spreadsheetml/2006/main" count="4578" uniqueCount="556">
  <si>
    <t>Card Name</t>
  </si>
  <si>
    <t>Count</t>
  </si>
  <si>
    <t>Type</t>
  </si>
  <si>
    <t>Cost</t>
  </si>
  <si>
    <t>On Purchase</t>
  </si>
  <si>
    <t>Agent Ability</t>
  </si>
  <si>
    <t>Reveal Ability</t>
  </si>
  <si>
    <t>Reveal Swords</t>
  </si>
  <si>
    <t>Unique Ability</t>
  </si>
  <si>
    <t>Requires Expansion</t>
  </si>
  <si>
    <t>Graft</t>
  </si>
  <si>
    <t>Unload</t>
  </si>
  <si>
    <t>Infiltration</t>
  </si>
  <si>
    <t>Green Space</t>
  </si>
  <si>
    <t>Blue Space</t>
  </si>
  <si>
    <t>Yellow Space</t>
  </si>
  <si>
    <t>Emperor Space</t>
  </si>
  <si>
    <t>Guild Space</t>
  </si>
  <si>
    <t>Bene Space</t>
  </si>
  <si>
    <t>Fremen Space</t>
  </si>
  <si>
    <t>Spy Space</t>
  </si>
  <si>
    <t>Bene Gesserit Faction</t>
  </si>
  <si>
    <t>Spacing Guild Faction</t>
  </si>
  <si>
    <t>Emperor Faction</t>
  </si>
  <si>
    <t>Fremen Faction</t>
  </si>
  <si>
    <t xml:space="preserve">Arrakis Recruiter </t>
  </si>
  <si>
    <t>Base Game Imperium Row</t>
  </si>
  <si>
    <t>-</t>
  </si>
  <si>
    <t>+1 Troop</t>
  </si>
  <si>
    <t>X</t>
  </si>
  <si>
    <t xml:space="preserve">Assassination Mission </t>
  </si>
  <si>
    <t>+1 Solari</t>
  </si>
  <si>
    <t>+4 Solari When Trashed</t>
  </si>
  <si>
    <t xml:space="preserve">Bene Gesserit Initiate </t>
  </si>
  <si>
    <t>Draw 1 card</t>
  </si>
  <si>
    <t xml:space="preserve">Bene Gesserit Sister </t>
  </si>
  <si>
    <t>+2 Persuation Or +2 Swords</t>
  </si>
  <si>
    <t xml:space="preserve">Carryall </t>
  </si>
  <si>
    <t>Double base spice harvest (not bonus)</t>
  </si>
  <si>
    <t>+1 Spice</t>
  </si>
  <si>
    <t xml:space="preserve">Chani </t>
  </si>
  <si>
    <t xml:space="preserve"> +1 Water</t>
  </si>
  <si>
    <t>Retreat any number of Troops</t>
  </si>
  <si>
    <t>Choam Directorship</t>
  </si>
  <si>
    <t>+1 Influence to all 4 Factions</t>
  </si>
  <si>
    <t>+3 Solari</t>
  </si>
  <si>
    <t xml:space="preserve">Crysknife </t>
  </si>
  <si>
    <t>x</t>
  </si>
  <si>
    <t xml:space="preserve">Dr. Yueh </t>
  </si>
  <si>
    <t xml:space="preserve">Duncan Idaho </t>
  </si>
  <si>
    <t>Pay 1 water: +1 Troop and Draw 1 card</t>
  </si>
  <si>
    <t>+1 Water</t>
  </si>
  <si>
    <t xml:space="preserve">Fedaykin Death Commando </t>
  </si>
  <si>
    <t>Trash a card</t>
  </si>
  <si>
    <t xml:space="preserve">Firm Grip </t>
  </si>
  <si>
    <t>Pay 2 Solari: +1 Influence with: Spacing Guild OR Bene Gesserit OR Fremen</t>
  </si>
  <si>
    <t xml:space="preserve">Fremen Camp </t>
  </si>
  <si>
    <t>Pay 2 Spice: +3 Troops</t>
  </si>
  <si>
    <t xml:space="preserve">Gene Manipulation </t>
  </si>
  <si>
    <t xml:space="preserve">Guild Administrator </t>
  </si>
  <si>
    <t>Trash 1 card</t>
  </si>
  <si>
    <t xml:space="preserve">Guild Ambassador </t>
  </si>
  <si>
    <t>+1 Spacing Guild Influence or +2 Spice</t>
  </si>
  <si>
    <t>Having Spacing Guild Alliance: Pay 3 Spice for +1 VP</t>
  </si>
  <si>
    <t xml:space="preserve">Guild Bankers </t>
  </si>
  <si>
    <t xml:space="preserve"> The Spice Must Flow costs 3 less this turn</t>
  </si>
  <si>
    <t xml:space="preserve">Gun Thopter </t>
  </si>
  <si>
    <t>Each opponent loses 1 Garrisoned Troop</t>
  </si>
  <si>
    <t>You may deploy a troop from your Garrison to the Conflict</t>
  </si>
  <si>
    <t xml:space="preserve">Gurney Halleck </t>
  </si>
  <si>
    <t>+2 Troops and Draw 1 card</t>
  </si>
  <si>
    <t>Pay 3 solari: +2 Troops to Garrison or Conflict</t>
  </si>
  <si>
    <t xml:space="preserve">Imperial Spy </t>
  </si>
  <si>
    <t>Trash this card:  Draw 1 Intrigue card</t>
  </si>
  <si>
    <t xml:space="preserve">Kwisatz Haderach </t>
  </si>
  <si>
    <t>Send one of your agents from anywhere to any board space and Draw 1 card</t>
  </si>
  <si>
    <t xml:space="preserve">Lady Jessica </t>
  </si>
  <si>
    <t xml:space="preserve"> +1 Influence</t>
  </si>
  <si>
    <t>Draw 2 cards</t>
  </si>
  <si>
    <t xml:space="preserve">Liet Kynes </t>
  </si>
  <si>
    <t>+1 Emperor Influence</t>
  </si>
  <si>
    <t>+2 Persuation for each Fremen card in play, including this one</t>
  </si>
  <si>
    <t xml:space="preserve">Missionaria Protectiva </t>
  </si>
  <si>
    <t xml:space="preserve">Opulence </t>
  </si>
  <si>
    <t>Pay 6 Solari for +1 VP</t>
  </si>
  <si>
    <t xml:space="preserve">Other Memory </t>
  </si>
  <si>
    <t>Draw 1 card or Draw 1 Bene Gesserit card from your discard pile</t>
  </si>
  <si>
    <t xml:space="preserve">Piter De Vries </t>
  </si>
  <si>
    <t>Draw 1 Intrigue card</t>
  </si>
  <si>
    <t xml:space="preserve">Power Play </t>
  </si>
  <si>
    <t>+2 Influence instead of +1 Influence and Trash this card</t>
  </si>
  <si>
    <t xml:space="preserve">Reverend Mother Mohaim </t>
  </si>
  <si>
    <t>+2 Spice</t>
  </si>
  <si>
    <t xml:space="preserve">Sardaukar Infantry </t>
  </si>
  <si>
    <t xml:space="preserve">Sardaukar Legion </t>
  </si>
  <si>
    <t>+2 Troops</t>
  </si>
  <si>
    <t>Deploy up to 3 troops from Garrison to Conflict</t>
  </si>
  <si>
    <t xml:space="preserve">Scout </t>
  </si>
  <si>
    <t>Retreat up to 2 Troops from Conflict</t>
  </si>
  <si>
    <t xml:space="preserve">Shifting Allegiances </t>
  </si>
  <si>
    <t>Pay 1 Influence and 2 Spice to gain +2 other Influence</t>
  </si>
  <si>
    <t xml:space="preserve">Sietch Reverend Mother </t>
  </si>
  <si>
    <t xml:space="preserve">Smuggler's Thopter </t>
  </si>
  <si>
    <t>With 2 Spacing Guild Influence: Draw 2 cards</t>
  </si>
  <si>
    <t xml:space="preserve">Space Travel </t>
  </si>
  <si>
    <t xml:space="preserve">Spice Hunter </t>
  </si>
  <si>
    <t xml:space="preserve">Spice Smugglers </t>
  </si>
  <si>
    <t>Pay 2 spice: +1 Spacing Guild Influence and +3 Solari</t>
  </si>
  <si>
    <t xml:space="preserve">Stilgar </t>
  </si>
  <si>
    <t xml:space="preserve">Test of Humanity </t>
  </si>
  <si>
    <t>Opponents discard 1 card or lose 1 deployed Troop</t>
  </si>
  <si>
    <t xml:space="preserve">The Voice </t>
  </si>
  <si>
    <t>Block 1 board space for Opponents this round</t>
  </si>
  <si>
    <t xml:space="preserve">Thufir Hawat </t>
  </si>
  <si>
    <t xml:space="preserve">Worm Riders </t>
  </si>
  <si>
    <t>Having 2 Fremen Influence: +4 Swords and Having Fremen Alliance: +2 swords</t>
  </si>
  <si>
    <t xml:space="preserve">Appropriate </t>
  </si>
  <si>
    <t>Ix Expansion Imperium Row</t>
  </si>
  <si>
    <t xml:space="preserve"> +1 Freighter</t>
  </si>
  <si>
    <t>With 2 Emperor Influence: +1 Acquire Tech May use Solari instead of Spice to pay</t>
  </si>
  <si>
    <t xml:space="preserve">Bounty Hunter </t>
  </si>
  <si>
    <t>If used to send an Agent to a board space with an enemy Agent: +2 Solari</t>
  </si>
  <si>
    <t xml:space="preserve">Choam Delegate </t>
  </si>
  <si>
    <t xml:space="preserve">Court Intrigue </t>
  </si>
  <si>
    <t>Put one of your Intrigue cards on the bottom of the Intrigue deck --&gt; Draw 1 Intrigue card</t>
  </si>
  <si>
    <t xml:space="preserve">Desert Ambush </t>
  </si>
  <si>
    <t>For each troop you deploy this turn, you may force an enemy unit to retreat.</t>
  </si>
  <si>
    <t xml:space="preserve">Embedded Agent </t>
  </si>
  <si>
    <t xml:space="preserve">Esmar Tuek </t>
  </si>
  <si>
    <t>Pay 1 Spice --&gt; Gain +1 Bene Gesserit Influence and Draw 1 card.</t>
  </si>
  <si>
    <t>+2 Spice and +2 Solari</t>
  </si>
  <si>
    <t xml:space="preserve">Freighter Fleet </t>
  </si>
  <si>
    <t>+1 Freighter</t>
  </si>
  <si>
    <t xml:space="preserve">Full-Scale Assault </t>
  </si>
  <si>
    <t xml:space="preserve"> +1 Dreadnought</t>
  </si>
  <si>
    <t>+3 Swords for each of your dreadnoughts in the Conflict</t>
  </si>
  <si>
    <t xml:space="preserve">Guild Accord </t>
  </si>
  <si>
    <t>It costs 2 Spice less to send an Agent to the Heighliner board space with this card.</t>
  </si>
  <si>
    <t>+1 Water and with Spacing Guild Alliance: +3 Spice</t>
  </si>
  <si>
    <t xml:space="preserve">Guild Chief Administrator </t>
  </si>
  <si>
    <t>Discard a card --&gt; Trash a card</t>
  </si>
  <si>
    <t xml:space="preserve">Imperial Bashar </t>
  </si>
  <si>
    <t>+1 Troop OR Trash a card</t>
  </si>
  <si>
    <t>+1  Sword for each other revealed card that provides one or more + Sword this turn.</t>
  </si>
  <si>
    <t xml:space="preserve">Imperial Shock Trooper </t>
  </si>
  <si>
    <t>If you have an Agent on an Emperor board space: +3 Swords</t>
  </si>
  <si>
    <t xml:space="preserve">In the Shadows </t>
  </si>
  <si>
    <t>With 2 Bene Infl.: Discard a card --&gt; +1 Infl. with: Emperor OR Spacing Guild OR Fremen</t>
  </si>
  <si>
    <t>+1 Bene Gesserit Influence</t>
  </si>
  <si>
    <t xml:space="preserve">Ix-Guild Compact </t>
  </si>
  <si>
    <t>Discard 2 cards --&gt; +1 Dreadnought</t>
  </si>
  <si>
    <t>+2 Tech Negotiation</t>
  </si>
  <si>
    <t xml:space="preserve">Ixian Engineer </t>
  </si>
  <si>
    <t>Acquire Tech</t>
  </si>
  <si>
    <t>If you have three or more Tech tiles: Trash this card --&gt; +1 Victory Point</t>
  </si>
  <si>
    <t xml:space="preserve">Jamis </t>
  </si>
  <si>
    <t xml:space="preserve">Landing Rights </t>
  </si>
  <si>
    <t xml:space="preserve">Local Fence </t>
  </si>
  <si>
    <t>Pay 2 Spice --&gt; Gain +5 Solari OR Pay 5 Solari --&gt; Gain +4 Spice</t>
  </si>
  <si>
    <t xml:space="preserve">Negotiated Withdrawal </t>
  </si>
  <si>
    <t xml:space="preserve"> +1 Troop</t>
  </si>
  <si>
    <t>Retreat 3 of your Units --&gt; +1 Influence</t>
  </si>
  <si>
    <t xml:space="preserve">Satellite Ban </t>
  </si>
  <si>
    <t>Discard a card --&gt; +1 Spice and +1 Water</t>
  </si>
  <si>
    <t xml:space="preserve">Sayyadina </t>
  </si>
  <si>
    <t>Pay 3 Water --&gt; +1 Victory Point</t>
  </si>
  <si>
    <t xml:space="preserve">Shai-Hulud </t>
  </si>
  <si>
    <t xml:space="preserve"> Trash a card</t>
  </si>
  <si>
    <t>Trash a card --&gt; +2 Troops</t>
  </si>
  <si>
    <t xml:space="preserve">Spice Trader </t>
  </si>
  <si>
    <t>With 2 Fremen Influence: Discard a card --&gt; +2 Spice</t>
  </si>
  <si>
    <t xml:space="preserve">Treachery </t>
  </si>
  <si>
    <t>Gain 2 Influence instead of one. Trash this card.</t>
  </si>
  <si>
    <t>+2 Troops, deploy these Troops to the Conflict.</t>
  </si>
  <si>
    <t xml:space="preserve">Truthsayer </t>
  </si>
  <si>
    <t>Discard a card --&gt; Draw a card</t>
  </si>
  <si>
    <t xml:space="preserve">Water Peddler </t>
  </si>
  <si>
    <t xml:space="preserve">Web of Power </t>
  </si>
  <si>
    <t>With 2 Emperor Infl.: +2 Solari and With 2 Guild Infl.: Draw a card and With 2 Fremen Infl.: +1 Water.</t>
  </si>
  <si>
    <t>+1 Influence</t>
  </si>
  <si>
    <t xml:space="preserve">Weirding Way </t>
  </si>
  <si>
    <t>You may take another turn immediately after this one.</t>
  </si>
  <si>
    <t>Bene Tleilax Lab</t>
  </si>
  <si>
    <t>Immortality Imperium Row</t>
  </si>
  <si>
    <t>+1 Specimen</t>
  </si>
  <si>
    <t>Research lvl 1: +1 spice</t>
  </si>
  <si>
    <t>0</t>
  </si>
  <si>
    <t>Bene Tleilax Researcher</t>
  </si>
  <si>
    <t>+1 Research</t>
  </si>
  <si>
    <t>Research lvl 1: +1 persuasion, Research lvl 2: +1 persuasion</t>
  </si>
  <si>
    <t>Blank Slate</t>
  </si>
  <si>
    <t>If grafted: Add EM, SG, FR, BG agent icons</t>
  </si>
  <si>
    <t>Clandestine Meeting</t>
  </si>
  <si>
    <t>+1 Bene Gesserit Influence, +1 Intrigue</t>
  </si>
  <si>
    <t>Corrupt Smuggler</t>
  </si>
  <si>
    <t>If grafted: +2 Spice</t>
  </si>
  <si>
    <t>1</t>
  </si>
  <si>
    <t>Dissecting Kit</t>
  </si>
  <si>
    <t>Trash other grafted card --&gt; +1 Specimen</t>
  </si>
  <si>
    <t>Research lvl 1: Beetle</t>
  </si>
  <si>
    <t>For Humanity</t>
  </si>
  <si>
    <t>Bene Gesserit Alliance: -2 Inf --&gt; +1 VP</t>
  </si>
  <si>
    <t>High Priority Travel</t>
  </si>
  <si>
    <t xml:space="preserve">if 2 inf with Spacing Guild: 1x draw or combat space </t>
  </si>
  <si>
    <t>Imperium Ceremony</t>
  </si>
  <si>
    <t>Look at top 2 Intrigues, keep one, other back on top</t>
  </si>
  <si>
    <t>Interstellar Conspiracy</t>
  </si>
  <si>
    <t>+1 Spice, If graft with EM/SG card: +1 inf</t>
  </si>
  <si>
    <t>Keys to Power</t>
  </si>
  <si>
    <t>If 2 Inf with Emperor: +2 Spice</t>
  </si>
  <si>
    <t>Lisan Al Gaib</t>
  </si>
  <si>
    <t>Long Reach</t>
  </si>
  <si>
    <t>+1 Intrigue Card</t>
  </si>
  <si>
    <t>Occupation</t>
  </si>
  <si>
    <t>+3 Troop</t>
  </si>
  <si>
    <t>1x draw, this space becomes combat space</t>
  </si>
  <si>
    <t>+1 Water, +1 Spice, +1 Troop</t>
  </si>
  <si>
    <t>Organ Merchants</t>
  </si>
  <si>
    <t>1 Specimen --&gt; +4 Solari</t>
  </si>
  <si>
    <t>Planned Coupling</t>
  </si>
  <si>
    <t>1x draw</t>
  </si>
  <si>
    <t>Replacement Eyes</t>
  </si>
  <si>
    <t>1x trash --&gt; 1x draw. When this card trashed: Beetle</t>
  </si>
  <si>
    <t>Sardukar Quartermaster</t>
  </si>
  <si>
    <t>If grafted: +1 Troop, 1x draw</t>
  </si>
  <si>
    <t>2</t>
  </si>
  <si>
    <t>Shadout Mapes</t>
  </si>
  <si>
    <t>May deploy or retreat 1 of your Troops</t>
  </si>
  <si>
    <t>Show of Strength</t>
  </si>
  <si>
    <t>2x draw, If more depl troops than Opps: Gr, Yw icons</t>
  </si>
  <si>
    <t>Spiritual Ferver</t>
  </si>
  <si>
    <t>Stillsuit Manufacturer</t>
  </si>
  <si>
    <t>+1 Water, Fremen Alliance: Return this from play to hand</t>
  </si>
  <si>
    <t>Throne Room Politics</t>
  </si>
  <si>
    <t>+1 Troop, 1x trash</t>
  </si>
  <si>
    <t>+1 Inf BG</t>
  </si>
  <si>
    <t>Tleilaxu Master</t>
  </si>
  <si>
    <t>Res lvl 1: May acquire a 6 card. Res lvl 2: Put it in hard</t>
  </si>
  <si>
    <t>+2 Research</t>
  </si>
  <si>
    <t>Tleilaxu Surgeon</t>
  </si>
  <si>
    <t>2 Specimen --&gt; 2 Beetle</t>
  </si>
  <si>
    <t>Lose 2 Troops--&gt; +2 Specimen</t>
  </si>
  <si>
    <t xml:space="preserve">Boundless Ambition </t>
  </si>
  <si>
    <t>Promo Card</t>
  </si>
  <si>
    <t>Signet Ring</t>
  </si>
  <si>
    <t>Acquire a card that costs 5 Persuation or less.</t>
  </si>
  <si>
    <t xml:space="preserve">Duncan, Loyal Blade </t>
  </si>
  <si>
    <t>When Trashed you may Deploy/Retreat any number of Troops From/To your Garrison.</t>
  </si>
  <si>
    <t xml:space="preserve">Jessica of Arrakis </t>
  </si>
  <si>
    <t>Thumper</t>
  </si>
  <si>
    <t>Double bonus spice harvest</t>
  </si>
  <si>
    <t>Arrakis Revolt</t>
  </si>
  <si>
    <t>Maker Hook: Pay 2 Spice --&gt; Detonate shield wall, +1 Sandworm</t>
  </si>
  <si>
    <t>Tread in Darkness</t>
  </si>
  <si>
    <t>Uprising Imperium Row</t>
  </si>
  <si>
    <t>Northern Watermaster</t>
  </si>
  <si>
    <t>Long Live the Fighters</t>
  </si>
  <si>
    <t>If your deck has three or more cards, look at the top three cards. Draw one, discard one, and trash one</t>
  </si>
  <si>
    <t>Truthtrance</t>
  </si>
  <si>
    <t>Rebel Supplier</t>
  </si>
  <si>
    <t>If you recalled a spy this turn: +2 Troops</t>
  </si>
  <si>
    <t>Spy Network</t>
  </si>
  <si>
    <t>+1 Spy</t>
  </si>
  <si>
    <t>Ecological Testing Station</t>
  </si>
  <si>
    <t>Desert Power</t>
  </si>
  <si>
    <t>Calculus of Power</t>
  </si>
  <si>
    <t>Reliable Informant</t>
  </si>
  <si>
    <t>Shishakli</t>
  </si>
  <si>
    <t>Desert Survival</t>
  </si>
  <si>
    <t>Spacing Guild's Favor</t>
  </si>
  <si>
    <t>Sardaukar Soldier</t>
  </si>
  <si>
    <t>Maker Keeper</t>
  </si>
  <si>
    <t>Wheels Within Wheels</t>
  </si>
  <si>
    <t>Strike Fleet</t>
  </si>
  <si>
    <t>Weirding Woman</t>
  </si>
  <si>
    <t>Southern Elders</t>
  </si>
  <si>
    <t>Maula Pistol</t>
  </si>
  <si>
    <t>Bene Gesserit Operative</t>
  </si>
  <si>
    <t>Covert Operation</t>
  </si>
  <si>
    <t>Chani, Clever Tactician</t>
  </si>
  <si>
    <t>Fedaykin Stilltent</t>
  </si>
  <si>
    <t>Public Spectacle</t>
  </si>
  <si>
    <t>Unswerving Loyalty</t>
  </si>
  <si>
    <t>Leadership</t>
  </si>
  <si>
    <t>Guild Spy</t>
  </si>
  <si>
    <t>Double Agent</t>
  </si>
  <si>
    <t>Hidden Missive</t>
  </si>
  <si>
    <t>In High Places</t>
  </si>
  <si>
    <t>Stilgar, the Devoted</t>
  </si>
  <si>
    <t>Smuggler's Harvester</t>
  </si>
  <si>
    <t>Steersman</t>
  </si>
  <si>
    <t>Imperial Spymaster</t>
  </si>
  <si>
    <t>Guild Envoy</t>
  </si>
  <si>
    <t>Junction Headquarters</t>
  </si>
  <si>
    <t>Dangerous Rhetoric</t>
  </si>
  <si>
    <t>Captured Mentat</t>
  </si>
  <si>
    <t>Sardaukar Coordination</t>
  </si>
  <si>
    <t>Space-time Folding</t>
  </si>
  <si>
    <t>Paracompass</t>
  </si>
  <si>
    <t>Subversive Advisor</t>
  </si>
  <si>
    <t>Branching Path</t>
  </si>
  <si>
    <t>Price is No Object</t>
  </si>
  <si>
    <t>Undercover Asset</t>
  </si>
  <si>
    <t>Smuggler's Haven</t>
  </si>
  <si>
    <t>Overthrow</t>
  </si>
  <si>
    <t>Corrinth City</t>
  </si>
  <si>
    <t>Treacherous Maneuver</t>
  </si>
  <si>
    <t>Cargo Runner</t>
  </si>
  <si>
    <t>Uprising Choam Module</t>
  </si>
  <si>
    <t>Delivery Agreement</t>
  </si>
  <si>
    <t>Priority Contracts</t>
  </si>
  <si>
    <t>Interstellar Trade</t>
  </si>
  <si>
    <t>Reveal
Persuation</t>
  </si>
  <si>
    <t>Reveal
Swords</t>
  </si>
  <si>
    <t>Green
Space</t>
  </si>
  <si>
    <t>Blue
Space</t>
  </si>
  <si>
    <t>Yellow
Space</t>
  </si>
  <si>
    <t>Emperor
Space</t>
  </si>
  <si>
    <t>Guild
Space</t>
  </si>
  <si>
    <t>Bene
Space</t>
  </si>
  <si>
    <t>Fremen
Space</t>
  </si>
  <si>
    <t xml:space="preserve">Arrakis Liaison
</t>
  </si>
  <si>
    <t>Base Game
Reserve Cards</t>
  </si>
  <si>
    <t xml:space="preserve">Foldspace
</t>
  </si>
  <si>
    <t>Draw 1 card and
Trash this card</t>
  </si>
  <si>
    <t xml:space="preserve">Spice Must Flow
</t>
  </si>
  <si>
    <t xml:space="preserve">Convincing Argument
</t>
  </si>
  <si>
    <t>Base Game
Starter Deck</t>
  </si>
  <si>
    <t xml:space="preserve">Dagger
</t>
  </si>
  <si>
    <t xml:space="preserve">Diplomacy
</t>
  </si>
  <si>
    <t xml:space="preserve">Dune, The Desert Planet
</t>
  </si>
  <si>
    <t xml:space="preserve">Reconnaissance
</t>
  </si>
  <si>
    <t xml:space="preserve">Seek Allies
</t>
  </si>
  <si>
    <t>Trash this card</t>
  </si>
  <si>
    <t xml:space="preserve">Signet Ring
</t>
  </si>
  <si>
    <t>Control the Spice</t>
  </si>
  <si>
    <t>Epic Game
Starter Deck</t>
  </si>
  <si>
    <t>Epic Game Only
Ix Expansion</t>
  </si>
  <si>
    <t>Pay 1 Spice --&gt; Trash a card and +1 Troop</t>
  </si>
  <si>
    <t>Qty</t>
  </si>
  <si>
    <t>Acquire</t>
  </si>
  <si>
    <t>Agent Box</t>
  </si>
  <si>
    <t>Reveal (Per)</t>
  </si>
  <si>
    <t>Reveal (Sword)</t>
  </si>
  <si>
    <t>Reveal (Other)</t>
  </si>
  <si>
    <t>Faction</t>
  </si>
  <si>
    <t>Agent Icons</t>
  </si>
  <si>
    <t>Bl</t>
  </si>
  <si>
    <t>Gr, Bl, Yw</t>
  </si>
  <si>
    <t>Yw</t>
  </si>
  <si>
    <t>FR</t>
  </si>
  <si>
    <t>Bl, Yw</t>
  </si>
  <si>
    <t>EM</t>
  </si>
  <si>
    <t>Gr, Bl</t>
  </si>
  <si>
    <t>SG</t>
  </si>
  <si>
    <t>Gr</t>
  </si>
  <si>
    <t>Gr, Yw</t>
  </si>
  <si>
    <t>graft</t>
  </si>
  <si>
    <t>Filtered Card Count ----&gt;</t>
  </si>
  <si>
    <t>Immortality Expansion -- 2 cards (and Reclaimed Forces) available for purchase at all times</t>
  </si>
  <si>
    <t>Tleilaxu Card Name</t>
  </si>
  <si>
    <t>Infiltrate</t>
  </si>
  <si>
    <t>Notes</t>
  </si>
  <si>
    <t>Reclaimed Forces</t>
  </si>
  <si>
    <t>∞</t>
  </si>
  <si>
    <t>+2 troops or Beetle</t>
  </si>
  <si>
    <t>This card is never removed from the row</t>
  </si>
  <si>
    <t>Usurp</t>
  </si>
  <si>
    <t>may graft this to a card in the imperium row w/o acquiring it. Trash that card at end of turn</t>
  </si>
  <si>
    <t>+1 specimen</t>
  </si>
  <si>
    <t>No</t>
  </si>
  <si>
    <t>Twisted Mentat</t>
  </si>
  <si>
    <t>You may recall the agent you sent this turn</t>
  </si>
  <si>
    <t>Beguiling Pheromones</t>
  </si>
  <si>
    <t>If you sent agent to faction space this turn, trash one grafted card and +1 inf at that faction</t>
  </si>
  <si>
    <t>Stitched Horror</t>
  </si>
  <si>
    <t>Choose 2: +1 water, +1 troop, 1x trash, +1 beetle</t>
  </si>
  <si>
    <t>Unnatural Reflexes</t>
  </si>
  <si>
    <t>Research lvl 1: 2x draw</t>
  </si>
  <si>
    <t>Ghola</t>
  </si>
  <si>
    <t>This card has the same agent box as the other grafted card</t>
  </si>
  <si>
    <t>Scientific Breakthrough</t>
  </si>
  <si>
    <t>+1 research, If research lvl 2: Trash this card --&gt; +1 VP</t>
  </si>
  <si>
    <t>Slig Farmer</t>
  </si>
  <si>
    <t>5 solari --&gt; Beetle, +1 solari for each agent icon on other grafted card</t>
  </si>
  <si>
    <t>From the Tanks</t>
  </si>
  <si>
    <t>+2 troop</t>
  </si>
  <si>
    <t>Face Dancer</t>
  </si>
  <si>
    <t>EM, SG, FR</t>
  </si>
  <si>
    <t>Guild Impersonator</t>
  </si>
  <si>
    <t>If you gain spice this turn: +1 inf SG</t>
  </si>
  <si>
    <t>Chairdog</t>
  </si>
  <si>
    <t>At start of reveal, return the other grafted card from play to your hand</t>
  </si>
  <si>
    <t>Tleilaxu Infiltrator</t>
  </si>
  <si>
    <t>Enemy agents font block your agent this turn. 1x draw and if res lvl 2: +1 intrigue</t>
  </si>
  <si>
    <t>Subject X-137</t>
  </si>
  <si>
    <t>+1 Beetle</t>
  </si>
  <si>
    <t>If res lvl 1: +1 Beetle</t>
  </si>
  <si>
    <t>Corrino Genes</t>
  </si>
  <si>
    <t>+2 solari</t>
  </si>
  <si>
    <t>If grafted: Beetle</t>
  </si>
  <si>
    <t>Contaminator</t>
  </si>
  <si>
    <t>Industrial Espionage</t>
  </si>
  <si>
    <t>1x draw, If grafted: +1 research and +1 specimen</t>
  </si>
  <si>
    <t>Face Dancer Initiate</t>
  </si>
  <si>
    <t>Piter, Genius Advisor</t>
  </si>
  <si>
    <t>lose a troop --&gt; 2x draw + 1x research</t>
  </si>
  <si>
    <t>Promo</t>
  </si>
  <si>
    <t>Ix</t>
  </si>
  <si>
    <t>+2 Solari</t>
  </si>
  <si>
    <t>DI_Card_Inventory_v2.3</t>
  </si>
  <si>
    <t>Improved Card inventory with a list of all the Deck, Leader, Intrigue and Conflict cards, including all their details.</t>
  </si>
  <si>
    <t>Feature list:</t>
  </si>
  <si>
    <t>- A list of all the Cards for your Deck from the Base game, the Ix Expansion and the Promo cards.</t>
  </si>
  <si>
    <t>- The list includes all the details of the Cards.</t>
  </si>
  <si>
    <t>- A list of all the Leaders from the Base game and the Ix expansion and all their Details.</t>
  </si>
  <si>
    <t>- A Power/Strength rating Tier list for all the Leaders for gaining a basic idea of the relative strength of the various Leaders.</t>
  </si>
  <si>
    <t>- All the Intrigue cards and their details.</t>
  </si>
  <si>
    <t>- All the Conflict cards and their details.</t>
  </si>
  <si>
    <t>- XLSX format: This format has all the data, including notes with clarifications and expanded explanations.</t>
  </si>
  <si>
    <t>- PDF format: This format has most, but not all of the data. Some of the more complex details are condensed and notes with clarifications are not available.</t>
  </si>
  <si>
    <t>- DOCX format: This format has only the names and amount of the cards and witch set it belongs to.</t>
  </si>
  <si>
    <t>Changelog:</t>
  </si>
  <si>
    <t>DI_Card_Inventory_v1.0</t>
  </si>
  <si>
    <t>- Original card inventory created by DEY123 at Boardgamegeek.com</t>
  </si>
  <si>
    <t>- Basic card list with cost, spaces and special effects.</t>
  </si>
  <si>
    <t>DI_Card_Inventory_v2.0</t>
  </si>
  <si>
    <t>- Cleaned up the layout.</t>
  </si>
  <si>
    <t>- Corrected errors.</t>
  </si>
  <si>
    <t>- Added the Promo Cards.</t>
  </si>
  <si>
    <t>- Added a PDF format option.</t>
  </si>
  <si>
    <t>DI_Card_Inventory_v2.1</t>
  </si>
  <si>
    <t>- Added A list with All the Leaders.</t>
  </si>
  <si>
    <t>- Added A Strength/Power tier rating for the Leaders.</t>
  </si>
  <si>
    <t>DI_Card_Inventory_v2.2</t>
  </si>
  <si>
    <t>- Added a list of the Intrigue cards</t>
  </si>
  <si>
    <t>- Added a list of the Conflict cards.</t>
  </si>
  <si>
    <t>- Added Ix Expansion Card Deck</t>
  </si>
  <si>
    <t>- Made various corrections and optimizations to the Deck list.</t>
  </si>
  <si>
    <t>- Added a DOCX format option.</t>
  </si>
  <si>
    <t>- Improved PDF format option.</t>
  </si>
  <si>
    <t>Brought to you by Realcyberghost from Band of Boarders.</t>
  </si>
  <si>
    <t>Fremen Bond</t>
  </si>
  <si>
    <t>+1 Fremen Influence</t>
  </si>
  <si>
    <t>+3 Swords</t>
  </si>
  <si>
    <t>+2 Freighter</t>
  </si>
  <si>
    <t>+3 Persuasion, +1 Spice</t>
  </si>
  <si>
    <t>+3 Persuasion</t>
  </si>
  <si>
    <t>+5 Swords</t>
  </si>
  <si>
    <t>Disruptive</t>
  </si>
  <si>
    <t>Bene Gesserit Connection</t>
  </si>
  <si>
    <t>Each opponent dicscards 2 cards</t>
  </si>
  <si>
    <t>Base Count</t>
  </si>
  <si>
    <t>+2 Swords</t>
  </si>
  <si>
    <t>Add GR, YL, BL icons</t>
  </si>
  <si>
    <t>+1 Inf with 2 factions</t>
  </si>
  <si>
    <t>Trash a card, Draw a card</t>
  </si>
  <si>
    <t>When trashed, Intrigue card</t>
  </si>
  <si>
    <t>Discard a card to draw a card. If you discarded a Spacing Guild card, Draw another card</t>
  </si>
  <si>
    <t>You may deploy or retreat 1 troop</t>
  </si>
  <si>
    <t>If you sent an agent to a Maker board space this turn: +1 Spice</t>
  </si>
  <si>
    <t>Return this card to your hand</t>
  </si>
  <si>
    <t>Ignore influence requirements on board spaces when sending an Agent this turn</t>
  </si>
  <si>
    <t>+1 Spy or +2 Swords</t>
  </si>
  <si>
    <t>2 Emperor influence: +2 Solari. 2 Spacing Guild influence: +1 Spice</t>
  </si>
  <si>
    <t>2 Bene Gesserit Influence: +1 Water. 2 Fremen Influence: +1 Spice</t>
  </si>
  <si>
    <t>If you have 2 or more Spies: Recall a spy --&gt; +1 intrigue card</t>
  </si>
  <si>
    <t>+1 Spy on Emperor, Bene Gesserit, or Fremen Space</t>
  </si>
  <si>
    <t>2 Bene Gesserit Influence: +1 Troop, Draw a card</t>
  </si>
  <si>
    <t>If you recalled a spy this turn: +1 Intrigue Card</t>
  </si>
  <si>
    <t>If you sent an agent to a Maker board space this turn: +1 Troop</t>
  </si>
  <si>
    <t>If you have 2 or more Spies: +2 Persuasion</t>
  </si>
  <si>
    <t>Trash another Emperor card you have in play --&gt; +3 Swords</t>
  </si>
  <si>
    <t>+1 Influence, Trash this card</t>
  </si>
  <si>
    <t>+1 Spy on active agent space. Spy may infiltrate.</t>
  </si>
  <si>
    <t>Pay 2 Water --&gt; Draw 2 cards</t>
  </si>
  <si>
    <t>Discard a card (Mandatory). If the discarded card is Spacing Guild, Draw 2 cards</t>
  </si>
  <si>
    <t>Bene Gesserit Alliance: Discard 1 Intrigue card --&gt; +1 Intrigue card, +2 Spice</t>
  </si>
  <si>
    <t>Discard a card --&gt; Draw a card.  If the discarded card is Spacing Guild, +1 Intrigue card</t>
  </si>
  <si>
    <t>If you acquire The Spice Must Flow, +1 Influence with each faction you are spying on</t>
  </si>
  <si>
    <t>If you have competed 2 or more contracts: Draw a card. If you have completed 4 or more contracts: Draw a card</t>
  </si>
  <si>
    <t>Each opponent discards a card.</t>
  </si>
  <si>
    <t>+2 Spies</t>
  </si>
  <si>
    <t>Draw a card</t>
  </si>
  <si>
    <t>The Beast's Spoils</t>
  </si>
  <si>
    <t>Gain reqards for your face-up battle icons. Dagger: Trash a card. Mouse: +1 Spice. Ornithopter: +1 Troop</t>
  </si>
  <si>
    <t>Pay 4 Spice --&gt; +1 Victory Point</t>
  </si>
  <si>
    <t>If you are spying on a Maker board space, +2 Spice</t>
  </si>
  <si>
    <t>+2 Persuasion</t>
  </si>
  <si>
    <t>Reveal Persuasion</t>
  </si>
  <si>
    <t>High Council Seat: +2 Persuasion Also have a Swordmaster: +1 Persuasion</t>
  </si>
  <si>
    <t>You may deploy any troops you recruit this turn to the conflict.</t>
  </si>
  <si>
    <t>+1 Sword for each Emperor card you revealed (Including this one)</t>
  </si>
  <si>
    <t>If you recalled a spy this turn: +1 Influence</t>
  </si>
  <si>
    <t>Trash a card --&gt; Draw a card</t>
  </si>
  <si>
    <t>Discard a card --&gt; +1 Intrigue Card, Draw a card</t>
  </si>
  <si>
    <t>-1 Influence --&gt; +1 Influence</t>
  </si>
  <si>
    <t>If you have three or more units in the conflict: +1 Intrigue card</t>
  </si>
  <si>
    <t>Retreat two of your troops --&gt; +4 Swords</t>
  </si>
  <si>
    <t>Discard a card: +1 Contract</t>
  </si>
  <si>
    <t>+1 Spice or If you have completed 4 or more contracts, Trash this card --&gt; +1 Victory Point</t>
  </si>
  <si>
    <t>Draw a card, +1 Spy</t>
  </si>
  <si>
    <t>Recall 2 Spies --&gt; +3 Persuasion</t>
  </si>
  <si>
    <t>For each sandworm you have in the conflict: Draw a card</t>
  </si>
  <si>
    <t>+1 Sword for each other revealed card that provides one or more Swords</t>
  </si>
  <si>
    <t>Pay 3 Spice --&gt; +1 Influence</t>
  </si>
  <si>
    <t xml:space="preserve">+2 Spice when discarded </t>
  </si>
  <si>
    <t>If you recalled a spy this turn: +3 troop</t>
  </si>
  <si>
    <t>If you sent an Agent to a faction board space, Gain 2 Influence instead of 1 and trash this card</t>
  </si>
  <si>
    <t>Trash this card and an emperor card from your hand --&gt; Gain 2 influence instead of 1</t>
  </si>
  <si>
    <t>Discard 2 cards, Pay 5 Solari --&gt; +1 Victory Point</t>
  </si>
  <si>
    <t>+5 Solari or Pay 5 Solari --&gt; Take your seat on the high council</t>
  </si>
  <si>
    <t>If you sent an agent to a Maker board space this turn : +2 Spice</t>
  </si>
  <si>
    <t>+2 Persuasion or Maker hook: Pay 1 Water --&gt; +1 Sandworm</t>
  </si>
  <si>
    <t>Spacing Guild Alliance: Discard an intrigue card, Pay 2 Spice --&gt; +1 Victory Point</t>
  </si>
  <si>
    <t>+1 Troop, +1 Water</t>
  </si>
  <si>
    <t>You may acquire a card to your hand using Solari instead of Persuasion</t>
  </si>
  <si>
    <t>+1 Contract</t>
  </si>
  <si>
    <t>+2 Spice or If you have 4 or more completed contracts, Trash this card --&gt; +1 Victory Point</t>
  </si>
  <si>
    <t>+2 Persuasion for each Fremen card you have in play (Including this one)</t>
  </si>
  <si>
    <t>+1 Persuasion for each contract you have completed</t>
  </si>
  <si>
    <t>Gain 2 Influence instead of one.</t>
  </si>
  <si>
    <t>+1 Influence with Spacing Guild</t>
  </si>
  <si>
    <t>Draw a card. Recall another agent.</t>
  </si>
  <si>
    <t>Filtered counts:</t>
  </si>
  <si>
    <t>DI_Card_Inventory_v3.0</t>
  </si>
  <si>
    <t>Uprising (Version 3.0) by LiteSpecter</t>
  </si>
  <si>
    <t>- Removed Leaders tab</t>
  </si>
  <si>
    <t>DI_Card_Inventory_v3.0 by LiteSpecter</t>
  </si>
  <si>
    <t>- Removed list of Intrigue cards</t>
  </si>
  <si>
    <t>- Removed list of Conflict cards</t>
  </si>
  <si>
    <t>- Moved unpurchasable cards to "Unpurchasable" tab</t>
  </si>
  <si>
    <t>- Added card counters</t>
  </si>
  <si>
    <t>- Added Uprising cards</t>
  </si>
  <si>
    <t>Immortality</t>
  </si>
  <si>
    <t>- Constructed document with the intent to use as an Imperium Row Deckbuilder</t>
  </si>
  <si>
    <t>- Added Immortality Imperium cards by Rowie (@rowie718 on Boardgamegeek.com)</t>
  </si>
  <si>
    <t>- Added Tleilaxu Cards tab by Rowie (@rowie718 on Boardgamegeek.com)</t>
  </si>
  <si>
    <t>Uprising
Reserve Cards</t>
  </si>
  <si>
    <t>+1 Victory Point</t>
  </si>
  <si>
    <t xml:space="preserve">Prepare the Way
</t>
  </si>
  <si>
    <t>2 Bene Gesserit Influence: Draw a card</t>
  </si>
  <si>
    <t>- Re-configured board space access, Bene Connection, and Fremen Bond to new filterable columns</t>
  </si>
  <si>
    <t>Uprising</t>
  </si>
  <si>
    <t>Having Emperor Alliance: +4 Persuasion</t>
  </si>
  <si>
    <t>NOTE: These totals are misleading for deckbuilding because they do not show the nuance of cost vs space access. For example, having a lot of 7 cost cards that grant Fremen access doesn't actually give the players much access to the Fremen spaces.</t>
  </si>
  <si>
    <t>Row Labels</t>
  </si>
  <si>
    <t>Grand Total</t>
  </si>
  <si>
    <t>Custom Imperium Deck</t>
  </si>
  <si>
    <t>- Design note: the card data was manually entered and could contain errors, if you find them please contact LiteSpecter to re-upload</t>
  </si>
  <si>
    <t>- Added Deck Stats chart</t>
  </si>
  <si>
    <t>Yes</t>
  </si>
  <si>
    <t>Sometimes</t>
  </si>
  <si>
    <t>Augments</t>
  </si>
  <si>
    <t>Cards in Custom Imperium Deck</t>
  </si>
  <si>
    <t>Card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</si>
</sst>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8"/>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tint="-0.14999847407452621"/>
        <bgColor theme="0" tint="-0.14999847407452621"/>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7" fillId="0" borderId="0"/>
  </cellStyleXfs>
  <cellXfs count="68">
    <xf numFmtId="0" fontId="0" fillId="0" borderId="0" xfId="0"/>
    <xf numFmtId="0" fontId="0" fillId="0" borderId="5" xfId="0" applyBorder="1" applyAlignment="1">
      <alignment horizontal="left" vertical="center" wrapText="1"/>
    </xf>
    <xf numFmtId="0" fontId="0" fillId="0" borderId="4" xfId="0" applyBorder="1" applyAlignment="1">
      <alignment horizontal="center" vertical="top"/>
    </xf>
    <xf numFmtId="49" fontId="0" fillId="0" borderId="4" xfId="0" applyNumberFormat="1" applyBorder="1" applyAlignment="1">
      <alignment horizontal="center" vertical="top" wrapText="1"/>
    </xf>
    <xf numFmtId="0" fontId="0" fillId="0" borderId="4" xfId="0" applyBorder="1" applyAlignment="1">
      <alignment horizontal="center" vertical="top" wrapText="1"/>
    </xf>
    <xf numFmtId="0" fontId="0" fillId="0" borderId="6" xfId="0" applyBorder="1" applyAlignment="1">
      <alignment horizontal="center" vertical="top" wrapText="1"/>
    </xf>
    <xf numFmtId="0" fontId="0" fillId="0" borderId="6" xfId="0" applyBorder="1" applyAlignment="1">
      <alignment horizontal="center" vertical="top"/>
    </xf>
    <xf numFmtId="0" fontId="0" fillId="0" borderId="8" xfId="0" applyBorder="1" applyAlignment="1">
      <alignment horizontal="center" vertical="top"/>
    </xf>
    <xf numFmtId="49" fontId="0" fillId="0" borderId="8" xfId="0" applyNumberFormat="1"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xf>
    <xf numFmtId="0" fontId="0" fillId="0" borderId="0" xfId="0" applyAlignment="1">
      <alignment horizontal="left"/>
    </xf>
    <xf numFmtId="0" fontId="1" fillId="0" borderId="2" xfId="0" applyFont="1" applyBorder="1" applyAlignment="1">
      <alignment horizontal="center" vertical="top" wrapText="1"/>
    </xf>
    <xf numFmtId="0" fontId="0" fillId="0" borderId="5" xfId="0" applyBorder="1" applyAlignment="1">
      <alignment horizontal="left" vertical="top" wrapText="1"/>
    </xf>
    <xf numFmtId="49" fontId="1" fillId="0" borderId="2" xfId="0" applyNumberFormat="1" applyFont="1" applyBorder="1" applyAlignment="1">
      <alignment horizontal="center" vertical="top" wrapText="1"/>
    </xf>
    <xf numFmtId="0" fontId="1" fillId="0" borderId="1" xfId="0" applyFont="1" applyBorder="1" applyAlignment="1">
      <alignment horizontal="left" vertical="top" wrapText="1"/>
    </xf>
    <xf numFmtId="49" fontId="0" fillId="0" borderId="0" xfId="0" applyNumberFormat="1"/>
    <xf numFmtId="0" fontId="0" fillId="0" borderId="0" xfId="0" applyAlignment="1">
      <alignment horizontal="center" vertical="center"/>
    </xf>
    <xf numFmtId="49" fontId="0" fillId="0" borderId="0" xfId="0" applyNumberFormat="1" applyAlignment="1">
      <alignment horizontal="center" vertical="center" wrapText="1"/>
    </xf>
    <xf numFmtId="49" fontId="1" fillId="0" borderId="3" xfId="0" applyNumberFormat="1" applyFont="1" applyBorder="1" applyAlignment="1">
      <alignment horizontal="center" vertical="top" wrapText="1"/>
    </xf>
    <xf numFmtId="0" fontId="5" fillId="0" borderId="0" xfId="0" applyFont="1"/>
    <xf numFmtId="0" fontId="6" fillId="0" borderId="0" xfId="0" applyFont="1"/>
    <xf numFmtId="49" fontId="5" fillId="0" borderId="0" xfId="0" applyNumberFormat="1" applyFont="1"/>
    <xf numFmtId="0" fontId="0" fillId="0" borderId="1" xfId="0" applyBorder="1" applyAlignment="1">
      <alignment horizontal="left" vertical="center" wrapText="1"/>
    </xf>
    <xf numFmtId="0" fontId="0" fillId="0" borderId="2" xfId="0" applyBorder="1" applyAlignment="1">
      <alignment horizontal="center" vertical="top"/>
    </xf>
    <xf numFmtId="49" fontId="0" fillId="0" borderId="2" xfId="0" applyNumberFormat="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xf>
    <xf numFmtId="0" fontId="0" fillId="0" borderId="3" xfId="0" applyBorder="1" applyAlignment="1">
      <alignment horizontal="center" vertical="top" wrapText="1"/>
    </xf>
    <xf numFmtId="0" fontId="1" fillId="0" borderId="3" xfId="0" applyFont="1" applyBorder="1" applyAlignment="1">
      <alignment horizontal="center" vertical="top" wrapText="1"/>
    </xf>
    <xf numFmtId="0" fontId="0" fillId="0" borderId="7" xfId="0" applyBorder="1" applyAlignment="1">
      <alignment horizontal="left" vertical="center"/>
    </xf>
    <xf numFmtId="0" fontId="7" fillId="0" borderId="0" xfId="1"/>
    <xf numFmtId="49" fontId="7" fillId="0" borderId="0" xfId="1" applyNumberFormat="1"/>
    <xf numFmtId="0" fontId="7" fillId="2" borderId="0" xfId="1" applyFill="1"/>
    <xf numFmtId="49" fontId="7" fillId="2" borderId="0" xfId="1" applyNumberFormat="1" applyFill="1"/>
    <xf numFmtId="0" fontId="7" fillId="2" borderId="0" xfId="1" applyFill="1" applyAlignment="1">
      <alignment horizontal="center" vertical="center"/>
    </xf>
    <xf numFmtId="0" fontId="7" fillId="3" borderId="0" xfId="1" applyFill="1"/>
    <xf numFmtId="0" fontId="7" fillId="4" borderId="4" xfId="1" applyFill="1" applyBorder="1" applyAlignment="1">
      <alignment horizontal="center" vertical="center"/>
    </xf>
    <xf numFmtId="49" fontId="7" fillId="4" borderId="4" xfId="1" applyNumberFormat="1" applyFill="1" applyBorder="1" applyAlignment="1">
      <alignment horizontal="center" vertical="center"/>
    </xf>
    <xf numFmtId="0" fontId="7" fillId="5" borderId="0" xfId="1" applyFill="1" applyAlignment="1">
      <alignment vertical="center"/>
    </xf>
    <xf numFmtId="0" fontId="7" fillId="5" borderId="0" xfId="1" applyFill="1" applyAlignment="1">
      <alignment horizontal="center" vertical="center"/>
    </xf>
    <xf numFmtId="49" fontId="7" fillId="5" borderId="0" xfId="1" applyNumberFormat="1" applyFill="1" applyAlignment="1">
      <alignment vertical="center"/>
    </xf>
    <xf numFmtId="49" fontId="7" fillId="6" borderId="0" xfId="1" applyNumberFormat="1" applyFill="1" applyAlignment="1">
      <alignment horizontal="center" vertical="center"/>
    </xf>
    <xf numFmtId="0" fontId="7" fillId="6" borderId="0" xfId="1" applyFill="1" applyAlignment="1">
      <alignment horizontal="center" vertical="center"/>
    </xf>
    <xf numFmtId="49" fontId="7" fillId="6" borderId="0" xfId="1" applyNumberFormat="1" applyFill="1" applyAlignment="1">
      <alignment vertical="center"/>
    </xf>
    <xf numFmtId="0" fontId="7" fillId="7" borderId="0" xfId="1" applyFill="1" applyAlignment="1">
      <alignment vertical="center"/>
    </xf>
    <xf numFmtId="1" fontId="5" fillId="7" borderId="0" xfId="1" applyNumberFormat="1" applyFont="1" applyFill="1" applyAlignment="1">
      <alignment vertical="center"/>
    </xf>
    <xf numFmtId="0" fontId="7" fillId="0" borderId="0" xfId="1" applyAlignment="1">
      <alignment vertical="center"/>
    </xf>
    <xf numFmtId="1" fontId="7" fillId="4" borderId="4" xfId="1" applyNumberFormat="1" applyFill="1" applyBorder="1" applyAlignment="1">
      <alignment vertical="center"/>
    </xf>
    <xf numFmtId="0" fontId="0" fillId="8" borderId="3" xfId="0" applyFill="1" applyBorder="1" applyAlignment="1">
      <alignment horizontal="center" vertical="top"/>
    </xf>
    <xf numFmtId="0" fontId="0" fillId="8" borderId="4" xfId="0" applyFill="1" applyBorder="1" applyAlignment="1">
      <alignment horizontal="center" vertical="top" wrapText="1"/>
    </xf>
    <xf numFmtId="49" fontId="0" fillId="8" borderId="4" xfId="0" applyNumberFormat="1" applyFill="1" applyBorder="1" applyAlignment="1">
      <alignment horizontal="center" vertical="top" wrapText="1"/>
    </xf>
    <xf numFmtId="0" fontId="0" fillId="8" borderId="3" xfId="0" applyFill="1" applyBorder="1" applyAlignment="1">
      <alignment horizontal="center" vertical="top" wrapText="1"/>
    </xf>
    <xf numFmtId="0" fontId="0" fillId="8" borderId="4" xfId="0" applyFill="1" applyBorder="1" applyAlignment="1">
      <alignment horizontal="center" vertical="top"/>
    </xf>
    <xf numFmtId="0" fontId="0" fillId="8" borderId="6" xfId="0" applyFill="1" applyBorder="1" applyAlignment="1">
      <alignment horizontal="center" vertical="top" wrapText="1"/>
    </xf>
    <xf numFmtId="0" fontId="0" fillId="0" borderId="5" xfId="0" applyBorder="1" applyAlignment="1">
      <alignment horizontal="left" vertical="center"/>
    </xf>
    <xf numFmtId="49" fontId="0" fillId="0" borderId="3" xfId="0" applyNumberFormat="1" applyBorder="1" applyAlignment="1">
      <alignment horizontal="center" vertical="top" wrapText="1"/>
    </xf>
    <xf numFmtId="0" fontId="0" fillId="0" borderId="4" xfId="0" applyBorder="1" applyAlignment="1">
      <alignment horizontal="left" vertical="center" wrapText="1"/>
    </xf>
    <xf numFmtId="0" fontId="0" fillId="8" borderId="4" xfId="0" applyFill="1" applyBorder="1" applyAlignment="1">
      <alignment horizontal="left" vertical="center" wrapText="1"/>
    </xf>
    <xf numFmtId="0" fontId="0" fillId="0" borderId="4" xfId="0" applyBorder="1" applyAlignment="1">
      <alignment horizontal="left" vertical="top" wrapText="1"/>
    </xf>
    <xf numFmtId="0" fontId="0" fillId="0" borderId="3" xfId="0" quotePrefix="1" applyBorder="1" applyAlignment="1">
      <alignment horizontal="center" vertical="top" wrapText="1"/>
    </xf>
    <xf numFmtId="49" fontId="0" fillId="0" borderId="4" xfId="0" quotePrefix="1" applyNumberFormat="1" applyBorder="1" applyAlignment="1">
      <alignment horizontal="center" vertical="top" wrapText="1"/>
    </xf>
    <xf numFmtId="0" fontId="0" fillId="0" borderId="3" xfId="0" quotePrefix="1" applyBorder="1" applyAlignment="1">
      <alignment horizontal="center" vertical="top"/>
    </xf>
    <xf numFmtId="0" fontId="0" fillId="0" borderId="0" xfId="0" quotePrefix="1"/>
    <xf numFmtId="0" fontId="0" fillId="0" borderId="9" xfId="0" applyBorder="1" applyAlignment="1">
      <alignment horizontal="center" vertical="top" wrapText="1"/>
    </xf>
    <xf numFmtId="0" fontId="0" fillId="0" borderId="0" xfId="0" applyAlignment="1">
      <alignment horizontal="center" wrapText="1"/>
    </xf>
    <xf numFmtId="0" fontId="0" fillId="0" borderId="0" xfId="0" applyNumberFormat="1"/>
    <xf numFmtId="0" fontId="0" fillId="0" borderId="0" xfId="0" pivotButton="1"/>
  </cellXfs>
  <cellStyles count="2">
    <cellStyle name="Normal" xfId="0" builtinId="0"/>
    <cellStyle name="Normal 2" xfId="1" xr:uid="{00000000-0005-0000-0000-000002000000}"/>
  </cellStyles>
  <dxfs count="80">
    <dxf>
      <fill>
        <patternFill>
          <bgColor rgb="FF00B0F0"/>
        </patternFill>
      </fill>
    </dxf>
    <dxf>
      <fill>
        <patternFill>
          <bgColor rgb="FFBD92DE"/>
        </patternFill>
      </fill>
    </dxf>
    <dxf>
      <fill>
        <patternFill>
          <bgColor rgb="FFFFC7CE"/>
        </patternFill>
      </fill>
    </dxf>
    <dxf>
      <fill>
        <patternFill>
          <bgColor theme="1" tint="0.499984740745262"/>
        </patternFill>
      </fill>
    </dxf>
    <dxf>
      <fill>
        <patternFill>
          <bgColor theme="7" tint="0.39994506668294322"/>
        </patternFill>
      </fill>
    </dxf>
    <dxf>
      <fill>
        <patternFill>
          <bgColor rgb="FF0070C0"/>
        </patternFill>
      </fill>
    </dxf>
    <dxf>
      <fill>
        <patternFill>
          <bgColor theme="9" tint="0.39994506668294322"/>
        </patternFill>
      </fill>
    </dxf>
    <dxf>
      <fill>
        <patternFill>
          <bgColor rgb="FF00B0F0"/>
        </patternFill>
      </fill>
    </dxf>
    <dxf>
      <fill>
        <patternFill>
          <bgColor rgb="FFBD92DE"/>
        </patternFill>
      </fill>
    </dxf>
    <dxf>
      <fill>
        <patternFill>
          <bgColor rgb="FFFFC7CE"/>
        </patternFill>
      </fill>
    </dxf>
    <dxf>
      <fill>
        <patternFill>
          <bgColor theme="9" tint="0.39994506668294322"/>
        </patternFill>
      </fill>
    </dxf>
    <dxf>
      <fill>
        <patternFill>
          <bgColor theme="1" tint="0.499984740745262"/>
        </patternFill>
      </fill>
    </dxf>
    <dxf>
      <fill>
        <patternFill>
          <bgColor theme="7" tint="0.39994506668294322"/>
        </patternFill>
      </fill>
    </dxf>
    <dxf>
      <fill>
        <patternFill>
          <bgColor rgb="FF0070C0"/>
        </patternFill>
      </fill>
    </dxf>
    <dxf>
      <fill>
        <patternFill>
          <bgColor theme="9" tint="0.39994506668294322"/>
        </patternFill>
      </fill>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0" indent="0" justifyLastLine="0" shrinkToFit="0" readingOrder="0"/>
      <border diagonalUp="0" diagonalDown="0" outline="0">
        <left/>
        <right style="thin">
          <color indexed="64"/>
        </right>
        <top style="thin">
          <color indexed="64"/>
        </top>
        <bottom/>
      </border>
    </dxf>
    <dxf>
      <alignment horizontal="left" vertical="center" textRotation="0" wrapText="0" indent="0" justifyLastLine="0" shrinkToFit="0" readingOrder="0"/>
      <border diagonalUp="0" diagonalDown="0" outline="0">
        <left/>
        <right style="thin">
          <color indexed="64"/>
        </right>
        <top style="thin">
          <color indexed="64"/>
        </top>
        <bottom/>
      </border>
    </dxf>
    <dxf>
      <alignment horizontal="center"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top" textRotation="0" wrapText="1" indent="0" justifyLastLine="0" shrinkToFit="0" readingOrder="0"/>
      <border diagonalUp="0" diagonalDown="0">
        <left style="thin">
          <color indexed="64"/>
        </left>
        <right/>
        <top/>
        <bottom style="thin">
          <color indexed="64"/>
        </bottom>
        <vertical/>
        <horizontal/>
      </border>
    </dxf>
    <dxf>
      <numFmt numFmtId="30" formatCode="@"/>
      <alignment horizontal="center" vertical="top" textRotation="0" wrapText="1" indent="0" justifyLastLine="0" shrinkToFit="0" readingOrder="0"/>
      <border diagonalUp="0" diagonalDown="0">
        <left style="thin">
          <color indexed="64"/>
        </left>
        <right/>
        <top/>
        <bottom style="thin">
          <color indexed="64"/>
        </bottom>
        <vertical/>
        <horizontal/>
      </border>
    </dxf>
    <dxf>
      <numFmt numFmtId="30" formatCode="@"/>
      <alignment horizontal="center" vertical="top" textRotation="0" wrapText="1" indent="0" justifyLastLine="0" shrinkToFit="0" readingOrder="0"/>
      <border diagonalUp="0" diagonalDown="0">
        <left style="thin">
          <color indexed="64"/>
        </left>
        <right/>
        <top/>
        <bottom style="thin">
          <color indexed="64"/>
        </bottom>
        <vertical/>
        <horizontal/>
      </border>
    </dxf>
    <dxf>
      <alignment horizontal="center" vertical="top" textRotation="0" wrapText="1" indent="0" justifyLastLine="0" shrinkToFit="0" readingOrder="0"/>
      <border diagonalUp="0" diagonalDown="0">
        <left style="thin">
          <color indexed="64"/>
        </left>
        <right/>
        <top/>
        <bottom style="thin">
          <color indexed="64"/>
        </bottom>
        <vertical/>
        <horizontal/>
      </border>
    </dxf>
    <dxf>
      <alignment horizontal="center" vertical="top" textRotation="0" wrapText="1" indent="0" justifyLastLine="0" shrinkToFit="0" readingOrder="0"/>
      <border diagonalUp="0" diagonalDown="0">
        <left style="thin">
          <color indexed="64"/>
        </left>
        <right/>
        <top/>
        <bottom style="thin">
          <color indexed="64"/>
        </bottom>
        <vertical/>
        <horizontal/>
      </border>
    </dxf>
    <dxf>
      <alignment horizontal="center" vertical="top" textRotation="0" wrapText="1" indent="0" justifyLastLine="0" shrinkToFit="0" readingOrder="0"/>
      <border diagonalUp="0" diagonalDown="0">
        <left style="thin">
          <color indexed="64"/>
        </left>
        <right/>
        <top/>
        <bottom style="thin">
          <color indexed="64"/>
        </bottom>
        <vertical/>
        <horizontal/>
      </border>
    </dxf>
    <dxf>
      <alignment horizontal="center" vertical="top" textRotation="0" wrapText="1" indent="0" justifyLastLine="0" shrinkToFit="0" readingOrder="0"/>
      <border diagonalUp="0" diagonalDown="0">
        <left style="thin">
          <color indexed="64"/>
        </left>
        <right/>
        <top/>
        <bottom style="thin">
          <color indexed="64"/>
        </bottom>
        <vertical/>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top" textRotation="0" wrapText="1" indent="0" justifyLastLine="0" shrinkToFit="0" readingOrder="0"/>
      <border diagonalUp="0" diagonalDown="0">
        <left style="thin">
          <color indexed="64"/>
        </left>
        <right/>
        <top/>
        <bottom style="thin">
          <color indexed="64"/>
        </bottom>
        <vertical/>
        <horizontal/>
      </border>
    </dxf>
    <dxf>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D9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26" Type="http://schemas.microsoft.com/office/2007/relationships/slicerCache" Target="slicerCaches/slicerCache20.xml"/><Relationship Id="rId3" Type="http://schemas.openxmlformats.org/officeDocument/2006/relationships/worksheet" Target="worksheets/sheet3.xml"/><Relationship Id="rId21" Type="http://schemas.microsoft.com/office/2007/relationships/slicerCache" Target="slicerCaches/slicerCache15.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microsoft.com/office/2007/relationships/slicerCache" Target="slicerCaches/slicerCache19.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microsoft.com/office/2007/relationships/slicerCache" Target="slicerCaches/slicerCache18.xml"/><Relationship Id="rId5" Type="http://schemas.openxmlformats.org/officeDocument/2006/relationships/worksheet" Target="worksheets/sheet5.xml"/><Relationship Id="rId15" Type="http://schemas.microsoft.com/office/2007/relationships/slicerCache" Target="slicerCaches/slicerCache9.xml"/><Relationship Id="rId23" Type="http://schemas.microsoft.com/office/2007/relationships/slicerCache" Target="slicerCaches/slicerCache17.xml"/><Relationship Id="rId28" Type="http://schemas.openxmlformats.org/officeDocument/2006/relationships/styles" Target="styles.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microsoft.com/office/2007/relationships/slicerCache" Target="slicerCaches/slicerCache16.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[DI_Card_Inventory_v3.0.xlsx]Deck Stats!PivotTable2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EB59C31-2825-4B09-B945-7F5CD9B0A2C0}"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873FE0-2FF3-4393-9D55-B2B3FA48ADC0}"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F08C74-AA26-4CA3-8028-6DFDAD27A3F4}"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13FBDF-53D5-419C-A928-7B08EACD9AE2}"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EED786-AB91-4949-AE7E-81A15BD43778}"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64C760D-25E1-43FC-AEC9-014A92B719E3}"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73B42C-8B5E-4A31-B38F-B00B7108E1D2}"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A0527C-1FF5-4D8E-A03C-8B9B79CD5F36}"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'Deck Stats'!$B$1</c:f>
              <c:strCache>
                <c:ptCount val="1"/>
                <c:pt idx="0">
                  <c:v>Total</c:v>
                </c:pt>
              </c:strCache>
            </c:strRef>
          </c:tx>
          <c:spPr>
            <a:solidFill>
              <a:schemeClr val="accent1"/>
            </a:solidFill>
            <a:ln>
              <a:noFill/>
            </a:ln>
            <a:effectLst/>
          </c:spPr>
          <c:invertIfNegative val="0"/>
          <c:cat>
            <c:strRef>
              <c:f>'Deck Stats'!$A$2:$A$10</c:f>
              <c:strCache>
                <c:ptCount val="8"/>
                <c:pt idx="0">
                  <c:v>1</c:v>
                </c:pt>
                <c:pt idx="1">
                  <c:v>2</c:v>
                </c:pt>
                <c:pt idx="2">
                  <c:v>3</c:v>
                </c:pt>
                <c:pt idx="3">
                  <c:v>4</c:v>
                </c:pt>
                <c:pt idx="4">
                  <c:v>5</c:v>
                </c:pt>
                <c:pt idx="5">
                  <c:v>6</c:v>
                </c:pt>
                <c:pt idx="6">
                  <c:v>7</c:v>
                </c:pt>
                <c:pt idx="7">
                  <c:v>8</c:v>
                </c:pt>
              </c:strCache>
            </c:strRef>
          </c:cat>
          <c:val>
            <c:numRef>
              <c:f>'Deck Stats'!$B$2:$B$10</c:f>
              <c:numCache>
                <c:formatCode>General</c:formatCode>
                <c:ptCount val="8"/>
                <c:pt idx="0">
                  <c:v>23</c:v>
                </c:pt>
                <c:pt idx="1">
                  <c:v>34</c:v>
                </c:pt>
                <c:pt idx="2">
                  <c:v>53</c:v>
                </c:pt>
                <c:pt idx="3">
                  <c:v>35</c:v>
                </c:pt>
                <c:pt idx="4">
                  <c:v>34</c:v>
                </c:pt>
                <c:pt idx="5">
                  <c:v>17</c:v>
                </c:pt>
                <c:pt idx="6">
                  <c:v>5</c:v>
                </c:pt>
                <c:pt idx="7">
                  <c:v>6</c:v>
                </c:pt>
              </c:numCache>
            </c:numRef>
          </c:val>
          <c:extLst>
            <c:ext xmlns:c16="http://schemas.microsoft.com/office/drawing/2014/chart" uri="{C3380CC4-5D6E-409C-BE32-E72D297353CC}">
              <c16:uniqueId val="{00000002-9DEB-4B4F-B40A-F36AA8C7F7CE}"/>
            </c:ext>
          </c:extLst>
        </c:ser>
        <c:dLbls>
          <c:showLegendKey val="0"/>
          <c:showVal val="0"/>
          <c:showCatName val="0"/>
          <c:showSerName val="0"/>
          <c:showPercent val="0"/>
          <c:showBubbleSize val="0"/>
        </c:dLbls>
        <c:gapWidth val="219"/>
        <c:overlap val="100"/>
        <c:axId val="906675504"/>
        <c:axId val="1836418560"/>
      </c:barChart>
      <c:catAx>
        <c:axId val="90667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18560"/>
        <c:crosses val="autoZero"/>
        <c:auto val="1"/>
        <c:lblAlgn val="ctr"/>
        <c:lblOffset val="100"/>
        <c:noMultiLvlLbl val="0"/>
      </c:catAx>
      <c:valAx>
        <c:axId val="183641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7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333375</xdr:colOff>
      <xdr:row>1</xdr:row>
      <xdr:rowOff>104775</xdr:rowOff>
    </xdr:from>
    <xdr:to>
      <xdr:col>12</xdr:col>
      <xdr:colOff>1790700</xdr:colOff>
      <xdr:row>27</xdr:row>
      <xdr:rowOff>85725</xdr:rowOff>
    </xdr:to>
    <xdr:graphicFrame macro="">
      <xdr:nvGraphicFramePr>
        <xdr:cNvPr id="3" name="Chart 2">
          <a:extLst>
            <a:ext uri="{FF2B5EF4-FFF2-40B4-BE49-F238E27FC236}">
              <a16:creationId xmlns:a16="http://schemas.microsoft.com/office/drawing/2014/main" id="{9D94EECC-1A15-2ADF-4279-6EBBCAC6B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1247775</xdr:colOff>
      <xdr:row>14</xdr:row>
      <xdr:rowOff>0</xdr:rowOff>
    </xdr:from>
    <xdr:to>
      <xdr:col>3</xdr:col>
      <xdr:colOff>342900</xdr:colOff>
      <xdr:row>27</xdr:row>
      <xdr:rowOff>47625</xdr:rowOff>
    </xdr:to>
    <mc:AlternateContent xmlns:mc="http://schemas.openxmlformats.org/markup-compatibility/2006">
      <mc:Choice xmlns:a14="http://schemas.microsoft.com/office/drawing/2010/main" Requires="a14">
        <xdr:graphicFrame macro="">
          <xdr:nvGraphicFramePr>
            <xdr:cNvPr id="7" name="Cost">
              <a:extLst>
                <a:ext uri="{FF2B5EF4-FFF2-40B4-BE49-F238E27FC236}">
                  <a16:creationId xmlns:a16="http://schemas.microsoft.com/office/drawing/2014/main" id="{CDDE4CA7-183B-0B6F-8CDC-FF7F74FAEA65}"/>
                </a:ext>
              </a:extLst>
            </xdr:cNvPr>
            <xdr:cNvGraphicFramePr/>
          </xdr:nvGraphicFramePr>
          <xdr:xfrm>
            <a:off x="0" y="0"/>
            <a:ext cx="0" cy="0"/>
          </xdr:xfrm>
          <a:graphic>
            <a:graphicData uri="http://schemas.microsoft.com/office/drawing/2010/slicer">
              <sle:slicer xmlns:sle="http://schemas.microsoft.com/office/drawing/2010/slicer" name="Cost"/>
            </a:graphicData>
          </a:graphic>
        </xdr:graphicFrame>
      </mc:Choice>
      <mc:Fallback>
        <xdr:sp macro="" textlink="">
          <xdr:nvSpPr>
            <xdr:cNvPr id="0" name=""/>
            <xdr:cNvSpPr>
              <a:spLocks noTextEdit="1"/>
            </xdr:cNvSpPr>
          </xdr:nvSpPr>
          <xdr:spPr>
            <a:xfrm>
              <a:off x="2124075" y="2667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600075</xdr:colOff>
      <xdr:row>0</xdr:row>
      <xdr:rowOff>114300</xdr:rowOff>
    </xdr:from>
    <xdr:to>
      <xdr:col>28</xdr:col>
      <xdr:colOff>323850</xdr:colOff>
      <xdr:row>13</xdr:row>
      <xdr:rowOff>161925</xdr:rowOff>
    </xdr:to>
    <mc:AlternateContent xmlns:mc="http://schemas.openxmlformats.org/markup-compatibility/2006">
      <mc:Choice xmlns:a14="http://schemas.microsoft.com/office/drawing/2010/main" Requires="a14">
        <xdr:graphicFrame macro="">
          <xdr:nvGraphicFramePr>
            <xdr:cNvPr id="8" name="Bene Gesserit Connection">
              <a:extLst>
                <a:ext uri="{FF2B5EF4-FFF2-40B4-BE49-F238E27FC236}">
                  <a16:creationId xmlns:a16="http://schemas.microsoft.com/office/drawing/2014/main" id="{4AE52073-D081-95D0-922B-10F78C432ADF}"/>
                </a:ext>
              </a:extLst>
            </xdr:cNvPr>
            <xdr:cNvGraphicFramePr/>
          </xdr:nvGraphicFramePr>
          <xdr:xfrm>
            <a:off x="0" y="0"/>
            <a:ext cx="0" cy="0"/>
          </xdr:xfrm>
          <a:graphic>
            <a:graphicData uri="http://schemas.microsoft.com/office/drawing/2010/slicer">
              <sle:slicer xmlns:sle="http://schemas.microsoft.com/office/drawing/2010/slicer" name="Bene Gesserit Connection"/>
            </a:graphicData>
          </a:graphic>
        </xdr:graphicFrame>
      </mc:Choice>
      <mc:Fallback>
        <xdr:sp macro="" textlink="">
          <xdr:nvSpPr>
            <xdr:cNvPr id="0" name=""/>
            <xdr:cNvSpPr>
              <a:spLocks noTextEdit="1"/>
            </xdr:cNvSpPr>
          </xdr:nvSpPr>
          <xdr:spPr>
            <a:xfrm>
              <a:off x="23974425" y="114300"/>
              <a:ext cx="22764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13</xdr:row>
      <xdr:rowOff>171450</xdr:rowOff>
    </xdr:from>
    <xdr:to>
      <xdr:col>28</xdr:col>
      <xdr:colOff>447675</xdr:colOff>
      <xdr:row>27</xdr:row>
      <xdr:rowOff>28575</xdr:rowOff>
    </xdr:to>
    <mc:AlternateContent xmlns:mc="http://schemas.openxmlformats.org/markup-compatibility/2006">
      <mc:Choice xmlns:a14="http://schemas.microsoft.com/office/drawing/2010/main" Requires="a14">
        <xdr:graphicFrame macro="">
          <xdr:nvGraphicFramePr>
            <xdr:cNvPr id="9" name="Fremen Bond">
              <a:extLst>
                <a:ext uri="{FF2B5EF4-FFF2-40B4-BE49-F238E27FC236}">
                  <a16:creationId xmlns:a16="http://schemas.microsoft.com/office/drawing/2014/main" id="{B5FD2101-75F9-05DE-D806-2A737957CDF8}"/>
                </a:ext>
              </a:extLst>
            </xdr:cNvPr>
            <xdr:cNvGraphicFramePr/>
          </xdr:nvGraphicFramePr>
          <xdr:xfrm>
            <a:off x="0" y="0"/>
            <a:ext cx="0" cy="0"/>
          </xdr:xfrm>
          <a:graphic>
            <a:graphicData uri="http://schemas.microsoft.com/office/drawing/2010/slicer">
              <sle:slicer xmlns:sle="http://schemas.microsoft.com/office/drawing/2010/slicer" name="Fremen Bond"/>
            </a:graphicData>
          </a:graphic>
        </xdr:graphicFrame>
      </mc:Choice>
      <mc:Fallback>
        <xdr:sp macro="" textlink="">
          <xdr:nvSpPr>
            <xdr:cNvPr id="0" name=""/>
            <xdr:cNvSpPr>
              <a:spLocks noTextEdit="1"/>
            </xdr:cNvSpPr>
          </xdr:nvSpPr>
          <xdr:spPr>
            <a:xfrm>
              <a:off x="24126825" y="2647950"/>
              <a:ext cx="22479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14</xdr:row>
      <xdr:rowOff>0</xdr:rowOff>
    </xdr:from>
    <xdr:to>
      <xdr:col>6</xdr:col>
      <xdr:colOff>400050</xdr:colOff>
      <xdr:row>21</xdr:row>
      <xdr:rowOff>85725</xdr:rowOff>
    </xdr:to>
    <mc:AlternateContent xmlns:mc="http://schemas.openxmlformats.org/markup-compatibility/2006">
      <mc:Choice xmlns:a14="http://schemas.microsoft.com/office/drawing/2010/main" Requires="a14">
        <xdr:graphicFrame macro="">
          <xdr:nvGraphicFramePr>
            <xdr:cNvPr id="11" name="Requires Expansion">
              <a:extLst>
                <a:ext uri="{FF2B5EF4-FFF2-40B4-BE49-F238E27FC236}">
                  <a16:creationId xmlns:a16="http://schemas.microsoft.com/office/drawing/2014/main" id="{16A97027-6013-71B8-D4F2-F59A58BC79FA}"/>
                </a:ext>
              </a:extLst>
            </xdr:cNvPr>
            <xdr:cNvGraphicFramePr/>
          </xdr:nvGraphicFramePr>
          <xdr:xfrm>
            <a:off x="0" y="0"/>
            <a:ext cx="0" cy="0"/>
          </xdr:xfrm>
          <a:graphic>
            <a:graphicData uri="http://schemas.microsoft.com/office/drawing/2010/slicer">
              <sle:slicer xmlns:sle="http://schemas.microsoft.com/office/drawing/2010/slicer" name="Requires Expansion"/>
            </a:graphicData>
          </a:graphic>
        </xdr:graphicFrame>
      </mc:Choice>
      <mc:Fallback>
        <xdr:sp macro="" textlink="">
          <xdr:nvSpPr>
            <xdr:cNvPr id="0" name=""/>
            <xdr:cNvSpPr>
              <a:spLocks noTextEdit="1"/>
            </xdr:cNvSpPr>
          </xdr:nvSpPr>
          <xdr:spPr>
            <a:xfrm>
              <a:off x="4438650" y="266700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561975</xdr:colOff>
      <xdr:row>5</xdr:row>
      <xdr:rowOff>104776</xdr:rowOff>
    </xdr:from>
    <xdr:to>
      <xdr:col>24</xdr:col>
      <xdr:colOff>590550</xdr:colOff>
      <xdr:row>11</xdr:row>
      <xdr:rowOff>123826</xdr:rowOff>
    </xdr:to>
    <mc:AlternateContent xmlns:mc="http://schemas.openxmlformats.org/markup-compatibility/2006">
      <mc:Choice xmlns:a14="http://schemas.microsoft.com/office/drawing/2010/main" Requires="a14">
        <xdr:graphicFrame macro="">
          <xdr:nvGraphicFramePr>
            <xdr:cNvPr id="12" name="Graft">
              <a:extLst>
                <a:ext uri="{FF2B5EF4-FFF2-40B4-BE49-F238E27FC236}">
                  <a16:creationId xmlns:a16="http://schemas.microsoft.com/office/drawing/2014/main" id="{1E1BB44C-B066-04AF-CC0F-D151B7B1E18A}"/>
                </a:ext>
              </a:extLst>
            </xdr:cNvPr>
            <xdr:cNvGraphicFramePr/>
          </xdr:nvGraphicFramePr>
          <xdr:xfrm>
            <a:off x="0" y="0"/>
            <a:ext cx="0" cy="0"/>
          </xdr:xfrm>
          <a:graphic>
            <a:graphicData uri="http://schemas.microsoft.com/office/drawing/2010/slicer">
              <sle:slicer xmlns:sle="http://schemas.microsoft.com/office/drawing/2010/slicer" name="Graft"/>
            </a:graphicData>
          </a:graphic>
        </xdr:graphicFrame>
      </mc:Choice>
      <mc:Fallback>
        <xdr:sp macro="" textlink="">
          <xdr:nvSpPr>
            <xdr:cNvPr id="0" name=""/>
            <xdr:cNvSpPr>
              <a:spLocks noTextEdit="1"/>
            </xdr:cNvSpPr>
          </xdr:nvSpPr>
          <xdr:spPr>
            <a:xfrm>
              <a:off x="22136100" y="1057276"/>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571500</xdr:colOff>
      <xdr:row>11</xdr:row>
      <xdr:rowOff>161925</xdr:rowOff>
    </xdr:from>
    <xdr:to>
      <xdr:col>24</xdr:col>
      <xdr:colOff>600075</xdr:colOff>
      <xdr:row>16</xdr:row>
      <xdr:rowOff>133350</xdr:rowOff>
    </xdr:to>
    <mc:AlternateContent xmlns:mc="http://schemas.openxmlformats.org/markup-compatibility/2006">
      <mc:Choice xmlns:a14="http://schemas.microsoft.com/office/drawing/2010/main" Requires="a14">
        <xdr:graphicFrame macro="">
          <xdr:nvGraphicFramePr>
            <xdr:cNvPr id="13" name="Unload">
              <a:extLst>
                <a:ext uri="{FF2B5EF4-FFF2-40B4-BE49-F238E27FC236}">
                  <a16:creationId xmlns:a16="http://schemas.microsoft.com/office/drawing/2014/main" id="{822DA295-985C-9B7D-AE8F-41BC3CD71049}"/>
                </a:ext>
              </a:extLst>
            </xdr:cNvPr>
            <xdr:cNvGraphicFramePr/>
          </xdr:nvGraphicFramePr>
          <xdr:xfrm>
            <a:off x="0" y="0"/>
            <a:ext cx="0" cy="0"/>
          </xdr:xfrm>
          <a:graphic>
            <a:graphicData uri="http://schemas.microsoft.com/office/drawing/2010/slicer">
              <sle:slicer xmlns:sle="http://schemas.microsoft.com/office/drawing/2010/slicer" name="Unload"/>
            </a:graphicData>
          </a:graphic>
        </xdr:graphicFrame>
      </mc:Choice>
      <mc:Fallback>
        <xdr:sp macro="" textlink="">
          <xdr:nvSpPr>
            <xdr:cNvPr id="0" name=""/>
            <xdr:cNvSpPr>
              <a:spLocks noTextEdit="1"/>
            </xdr:cNvSpPr>
          </xdr:nvSpPr>
          <xdr:spPr>
            <a:xfrm>
              <a:off x="22145625" y="2257425"/>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542925</xdr:colOff>
      <xdr:row>0</xdr:row>
      <xdr:rowOff>104775</xdr:rowOff>
    </xdr:from>
    <xdr:to>
      <xdr:col>24</xdr:col>
      <xdr:colOff>571500</xdr:colOff>
      <xdr:row>5</xdr:row>
      <xdr:rowOff>76200</xdr:rowOff>
    </xdr:to>
    <mc:AlternateContent xmlns:mc="http://schemas.openxmlformats.org/markup-compatibility/2006">
      <mc:Choice xmlns:a14="http://schemas.microsoft.com/office/drawing/2010/main" Requires="a14">
        <xdr:graphicFrame macro="">
          <xdr:nvGraphicFramePr>
            <xdr:cNvPr id="14" name="Infiltration">
              <a:extLst>
                <a:ext uri="{FF2B5EF4-FFF2-40B4-BE49-F238E27FC236}">
                  <a16:creationId xmlns:a16="http://schemas.microsoft.com/office/drawing/2014/main" id="{9F72DD4A-0C76-BF94-B0E0-5B911177D2FF}"/>
                </a:ext>
              </a:extLst>
            </xdr:cNvPr>
            <xdr:cNvGraphicFramePr/>
          </xdr:nvGraphicFramePr>
          <xdr:xfrm>
            <a:off x="0" y="0"/>
            <a:ext cx="0" cy="0"/>
          </xdr:xfrm>
          <a:graphic>
            <a:graphicData uri="http://schemas.microsoft.com/office/drawing/2010/slicer">
              <sle:slicer xmlns:sle="http://schemas.microsoft.com/office/drawing/2010/slicer" name="Infiltration"/>
            </a:graphicData>
          </a:graphic>
        </xdr:graphicFrame>
      </mc:Choice>
      <mc:Fallback>
        <xdr:sp macro="" textlink="">
          <xdr:nvSpPr>
            <xdr:cNvPr id="0" name=""/>
            <xdr:cNvSpPr>
              <a:spLocks noTextEdit="1"/>
            </xdr:cNvSpPr>
          </xdr:nvSpPr>
          <xdr:spPr>
            <a:xfrm>
              <a:off x="22117050" y="104775"/>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247651</xdr:colOff>
      <xdr:row>28</xdr:row>
      <xdr:rowOff>26670</xdr:rowOff>
    </xdr:from>
    <xdr:to>
      <xdr:col>17</xdr:col>
      <xdr:colOff>514350</xdr:colOff>
      <xdr:row>34</xdr:row>
      <xdr:rowOff>95250</xdr:rowOff>
    </xdr:to>
    <xdr:grpSp>
      <xdr:nvGrpSpPr>
        <xdr:cNvPr id="30" name="Group 29">
          <a:extLst>
            <a:ext uri="{FF2B5EF4-FFF2-40B4-BE49-F238E27FC236}">
              <a16:creationId xmlns:a16="http://schemas.microsoft.com/office/drawing/2014/main" id="{4449EAB3-A2B8-2A7B-3A00-10B250FE44B6}"/>
            </a:ext>
          </a:extLst>
        </xdr:cNvPr>
        <xdr:cNvGrpSpPr/>
      </xdr:nvGrpSpPr>
      <xdr:grpSpPr>
        <a:xfrm>
          <a:off x="247651" y="5360670"/>
          <a:ext cx="19650074" cy="1211580"/>
          <a:chOff x="914401" y="5303520"/>
          <a:chExt cx="7305674" cy="1183005"/>
        </a:xfrm>
      </xdr:grpSpPr>
      <mc:AlternateContent xmlns:mc="http://schemas.openxmlformats.org/markup-compatibility/2006">
        <mc:Choice xmlns:a14="http://schemas.microsoft.com/office/drawing/2010/main" Requires="a14">
          <xdr:graphicFrame macro="">
            <xdr:nvGraphicFramePr>
              <xdr:cNvPr id="15" name="Green Space">
                <a:extLst>
                  <a:ext uri="{FF2B5EF4-FFF2-40B4-BE49-F238E27FC236}">
                    <a16:creationId xmlns:a16="http://schemas.microsoft.com/office/drawing/2014/main" id="{3530C5FD-1A83-A4D8-AB07-76DE85B835CE}"/>
                  </a:ext>
                </a:extLst>
              </xdr:cNvPr>
              <xdr:cNvGraphicFramePr/>
            </xdr:nvGraphicFramePr>
            <xdr:xfrm>
              <a:off x="914401" y="5303520"/>
              <a:ext cx="904874" cy="1183005"/>
            </xdr:xfrm>
            <a:graphic>
              <a:graphicData uri="http://schemas.microsoft.com/office/drawing/2010/slicer">
                <sle:slicer xmlns:sle="http://schemas.microsoft.com/office/drawing/2010/slicer" name="Green Space"/>
              </a:graphicData>
            </a:graphic>
          </xdr:graphicFrame>
        </mc:Choice>
        <mc:Fallback>
          <xdr:sp macro="" textlink="">
            <xdr:nvSpPr>
              <xdr:cNvPr id="0" name=""/>
              <xdr:cNvSpPr>
                <a:spLocks noTextEdit="1"/>
              </xdr:cNvSpPr>
            </xdr:nvSpPr>
            <xdr:spPr>
              <a:xfrm>
                <a:off x="247651" y="5360670"/>
                <a:ext cx="24338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Blue Space">
                <a:extLst>
                  <a:ext uri="{FF2B5EF4-FFF2-40B4-BE49-F238E27FC236}">
                    <a16:creationId xmlns:a16="http://schemas.microsoft.com/office/drawing/2014/main" id="{70A15B7C-EAA3-B95B-2C4F-4EBC54B5C32C}"/>
                  </a:ext>
                </a:extLst>
              </xdr:cNvPr>
              <xdr:cNvGraphicFramePr/>
            </xdr:nvGraphicFramePr>
            <xdr:xfrm>
              <a:off x="1828801" y="5303520"/>
              <a:ext cx="904874" cy="1183005"/>
            </xdr:xfrm>
            <a:graphic>
              <a:graphicData uri="http://schemas.microsoft.com/office/drawing/2010/slicer">
                <sle:slicer xmlns:sle="http://schemas.microsoft.com/office/drawing/2010/slicer" name="Blue Space"/>
              </a:graphicData>
            </a:graphic>
          </xdr:graphicFrame>
        </mc:Choice>
        <mc:Fallback>
          <xdr:sp macro="" textlink="">
            <xdr:nvSpPr>
              <xdr:cNvPr id="0" name=""/>
              <xdr:cNvSpPr>
                <a:spLocks noTextEdit="1"/>
              </xdr:cNvSpPr>
            </xdr:nvSpPr>
            <xdr:spPr>
              <a:xfrm>
                <a:off x="2707113" y="5360670"/>
                <a:ext cx="24338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Yellow Space">
                <a:extLst>
                  <a:ext uri="{FF2B5EF4-FFF2-40B4-BE49-F238E27FC236}">
                    <a16:creationId xmlns:a16="http://schemas.microsoft.com/office/drawing/2014/main" id="{E3BB5CD0-1388-60AC-DD16-26EDD870BE65}"/>
                  </a:ext>
                </a:extLst>
              </xdr:cNvPr>
              <xdr:cNvGraphicFramePr/>
            </xdr:nvGraphicFramePr>
            <xdr:xfrm>
              <a:off x="2743201" y="5303520"/>
              <a:ext cx="904874" cy="1183005"/>
            </xdr:xfrm>
            <a:graphic>
              <a:graphicData uri="http://schemas.microsoft.com/office/drawing/2010/slicer">
                <sle:slicer xmlns:sle="http://schemas.microsoft.com/office/drawing/2010/slicer" name="Yellow Space"/>
              </a:graphicData>
            </a:graphic>
          </xdr:graphicFrame>
        </mc:Choice>
        <mc:Fallback>
          <xdr:sp macro="" textlink="">
            <xdr:nvSpPr>
              <xdr:cNvPr id="0" name=""/>
              <xdr:cNvSpPr>
                <a:spLocks noTextEdit="1"/>
              </xdr:cNvSpPr>
            </xdr:nvSpPr>
            <xdr:spPr>
              <a:xfrm>
                <a:off x="5166575" y="5360670"/>
                <a:ext cx="24338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Emperor Space">
                <a:extLst>
                  <a:ext uri="{FF2B5EF4-FFF2-40B4-BE49-F238E27FC236}">
                    <a16:creationId xmlns:a16="http://schemas.microsoft.com/office/drawing/2014/main" id="{938C61C4-468C-9376-DD29-A94F22B26E9A}"/>
                  </a:ext>
                </a:extLst>
              </xdr:cNvPr>
              <xdr:cNvGraphicFramePr/>
            </xdr:nvGraphicFramePr>
            <xdr:xfrm>
              <a:off x="3657601" y="5303520"/>
              <a:ext cx="904874" cy="1183005"/>
            </xdr:xfrm>
            <a:graphic>
              <a:graphicData uri="http://schemas.microsoft.com/office/drawing/2010/slicer">
                <sle:slicer xmlns:sle="http://schemas.microsoft.com/office/drawing/2010/slicer" name="Emperor Space"/>
              </a:graphicData>
            </a:graphic>
          </xdr:graphicFrame>
        </mc:Choice>
        <mc:Fallback>
          <xdr:sp macro="" textlink="">
            <xdr:nvSpPr>
              <xdr:cNvPr id="0" name=""/>
              <xdr:cNvSpPr>
                <a:spLocks noTextEdit="1"/>
              </xdr:cNvSpPr>
            </xdr:nvSpPr>
            <xdr:spPr>
              <a:xfrm>
                <a:off x="7626037" y="5360670"/>
                <a:ext cx="24338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9" name="Guild Space">
                <a:extLst>
                  <a:ext uri="{FF2B5EF4-FFF2-40B4-BE49-F238E27FC236}">
                    <a16:creationId xmlns:a16="http://schemas.microsoft.com/office/drawing/2014/main" id="{0B40C41F-5A17-BB57-8AA7-3BC13BB3AEFC}"/>
                  </a:ext>
                </a:extLst>
              </xdr:cNvPr>
              <xdr:cNvGraphicFramePr/>
            </xdr:nvGraphicFramePr>
            <xdr:xfrm>
              <a:off x="4572001" y="5303520"/>
              <a:ext cx="904874" cy="1183005"/>
            </xdr:xfrm>
            <a:graphic>
              <a:graphicData uri="http://schemas.microsoft.com/office/drawing/2010/slicer">
                <sle:slicer xmlns:sle="http://schemas.microsoft.com/office/drawing/2010/slicer" name="Guild Space"/>
              </a:graphicData>
            </a:graphic>
          </xdr:graphicFrame>
        </mc:Choice>
        <mc:Fallback>
          <xdr:sp macro="" textlink="">
            <xdr:nvSpPr>
              <xdr:cNvPr id="0" name=""/>
              <xdr:cNvSpPr>
                <a:spLocks noTextEdit="1"/>
              </xdr:cNvSpPr>
            </xdr:nvSpPr>
            <xdr:spPr>
              <a:xfrm>
                <a:off x="10085499" y="5360670"/>
                <a:ext cx="24338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0" name="Bene Space">
                <a:extLst>
                  <a:ext uri="{FF2B5EF4-FFF2-40B4-BE49-F238E27FC236}">
                    <a16:creationId xmlns:a16="http://schemas.microsoft.com/office/drawing/2014/main" id="{C97565CD-4B93-AC8E-8A47-A2D2288A1DE0}"/>
                  </a:ext>
                </a:extLst>
              </xdr:cNvPr>
              <xdr:cNvGraphicFramePr/>
            </xdr:nvGraphicFramePr>
            <xdr:xfrm>
              <a:off x="5486401" y="5303520"/>
              <a:ext cx="904874" cy="1183005"/>
            </xdr:xfrm>
            <a:graphic>
              <a:graphicData uri="http://schemas.microsoft.com/office/drawing/2010/slicer">
                <sle:slicer xmlns:sle="http://schemas.microsoft.com/office/drawing/2010/slicer" name="Bene Space"/>
              </a:graphicData>
            </a:graphic>
          </xdr:graphicFrame>
        </mc:Choice>
        <mc:Fallback>
          <xdr:sp macro="" textlink="">
            <xdr:nvSpPr>
              <xdr:cNvPr id="0" name=""/>
              <xdr:cNvSpPr>
                <a:spLocks noTextEdit="1"/>
              </xdr:cNvSpPr>
            </xdr:nvSpPr>
            <xdr:spPr>
              <a:xfrm>
                <a:off x="12544961" y="5360670"/>
                <a:ext cx="24338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Fremen Space">
                <a:extLst>
                  <a:ext uri="{FF2B5EF4-FFF2-40B4-BE49-F238E27FC236}">
                    <a16:creationId xmlns:a16="http://schemas.microsoft.com/office/drawing/2014/main" id="{65E5AA74-6397-9F33-E512-938CA0EE3FF2}"/>
                  </a:ext>
                </a:extLst>
              </xdr:cNvPr>
              <xdr:cNvGraphicFramePr/>
            </xdr:nvGraphicFramePr>
            <xdr:xfrm>
              <a:off x="6400801" y="5303520"/>
              <a:ext cx="904874" cy="1183005"/>
            </xdr:xfrm>
            <a:graphic>
              <a:graphicData uri="http://schemas.microsoft.com/office/drawing/2010/slicer">
                <sle:slicer xmlns:sle="http://schemas.microsoft.com/office/drawing/2010/slicer" name="Fremen Space"/>
              </a:graphicData>
            </a:graphic>
          </xdr:graphicFrame>
        </mc:Choice>
        <mc:Fallback>
          <xdr:sp macro="" textlink="">
            <xdr:nvSpPr>
              <xdr:cNvPr id="0" name=""/>
              <xdr:cNvSpPr>
                <a:spLocks noTextEdit="1"/>
              </xdr:cNvSpPr>
            </xdr:nvSpPr>
            <xdr:spPr>
              <a:xfrm>
                <a:off x="15004423" y="5360670"/>
                <a:ext cx="24338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Spy Space">
                <a:extLst>
                  <a:ext uri="{FF2B5EF4-FFF2-40B4-BE49-F238E27FC236}">
                    <a16:creationId xmlns:a16="http://schemas.microsoft.com/office/drawing/2014/main" id="{81AB7F65-610A-8198-0410-B36CA2F958A2}"/>
                  </a:ext>
                </a:extLst>
              </xdr:cNvPr>
              <xdr:cNvGraphicFramePr/>
            </xdr:nvGraphicFramePr>
            <xdr:xfrm>
              <a:off x="7315201" y="5303520"/>
              <a:ext cx="904874" cy="1183005"/>
            </xdr:xfrm>
            <a:graphic>
              <a:graphicData uri="http://schemas.microsoft.com/office/drawing/2010/slicer">
                <sle:slicer xmlns:sle="http://schemas.microsoft.com/office/drawing/2010/slicer" name="Spy Space"/>
              </a:graphicData>
            </a:graphic>
          </xdr:graphicFrame>
        </mc:Choice>
        <mc:Fallback>
          <xdr:sp macro="" textlink="">
            <xdr:nvSpPr>
              <xdr:cNvPr id="0" name=""/>
              <xdr:cNvSpPr>
                <a:spLocks noTextEdit="1"/>
              </xdr:cNvSpPr>
            </xdr:nvSpPr>
            <xdr:spPr>
              <a:xfrm>
                <a:off x="17463885" y="5360670"/>
                <a:ext cx="24338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1057275</xdr:colOff>
      <xdr:row>35</xdr:row>
      <xdr:rowOff>38099</xdr:rowOff>
    </xdr:from>
    <xdr:to>
      <xdr:col>15</xdr:col>
      <xdr:colOff>9525</xdr:colOff>
      <xdr:row>42</xdr:row>
      <xdr:rowOff>47624</xdr:rowOff>
    </xdr:to>
    <xdr:grpSp>
      <xdr:nvGrpSpPr>
        <xdr:cNvPr id="31" name="Group 30">
          <a:extLst>
            <a:ext uri="{FF2B5EF4-FFF2-40B4-BE49-F238E27FC236}">
              <a16:creationId xmlns:a16="http://schemas.microsoft.com/office/drawing/2014/main" id="{721C27AC-12FA-D712-CD12-B4592C31C9D3}"/>
            </a:ext>
          </a:extLst>
        </xdr:cNvPr>
        <xdr:cNvGrpSpPr/>
      </xdr:nvGrpSpPr>
      <xdr:grpSpPr>
        <a:xfrm>
          <a:off x="1933575" y="6705599"/>
          <a:ext cx="16259175" cy="1343025"/>
          <a:chOff x="104775" y="7315199"/>
          <a:chExt cx="7372350" cy="1343025"/>
        </a:xfrm>
      </xdr:grpSpPr>
      <mc:AlternateContent xmlns:mc="http://schemas.openxmlformats.org/markup-compatibility/2006">
        <mc:Choice xmlns:a14="http://schemas.microsoft.com/office/drawing/2010/main" Requires="a14">
          <xdr:graphicFrame macro="">
            <xdr:nvGraphicFramePr>
              <xdr:cNvPr id="23" name="Bene Gesserit Faction">
                <a:extLst>
                  <a:ext uri="{FF2B5EF4-FFF2-40B4-BE49-F238E27FC236}">
                    <a16:creationId xmlns:a16="http://schemas.microsoft.com/office/drawing/2014/main" id="{50368796-B21E-D386-E666-8CC006414B89}"/>
                  </a:ext>
                </a:extLst>
              </xdr:cNvPr>
              <xdr:cNvGraphicFramePr/>
            </xdr:nvGraphicFramePr>
            <xdr:xfrm>
              <a:off x="104775" y="7315199"/>
              <a:ext cx="1828800" cy="1343025"/>
            </xdr:xfrm>
            <a:graphic>
              <a:graphicData uri="http://schemas.microsoft.com/office/drawing/2010/slicer">
                <sle:slicer xmlns:sle="http://schemas.microsoft.com/office/drawing/2010/slicer" name="Bene Gesserit Faction"/>
              </a:graphicData>
            </a:graphic>
          </xdr:graphicFrame>
        </mc:Choice>
        <mc:Fallback>
          <xdr:sp macro="" textlink="">
            <xdr:nvSpPr>
              <xdr:cNvPr id="0" name=""/>
              <xdr:cNvSpPr>
                <a:spLocks noTextEdit="1"/>
              </xdr:cNvSpPr>
            </xdr:nvSpPr>
            <xdr:spPr>
              <a:xfrm>
                <a:off x="1933575" y="6705599"/>
                <a:ext cx="4033284"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Spacing Guild Faction">
                <a:extLst>
                  <a:ext uri="{FF2B5EF4-FFF2-40B4-BE49-F238E27FC236}">
                    <a16:creationId xmlns:a16="http://schemas.microsoft.com/office/drawing/2014/main" id="{08B343F3-7C75-F2D5-636A-7D25D84C5A33}"/>
                  </a:ext>
                </a:extLst>
              </xdr:cNvPr>
              <xdr:cNvGraphicFramePr/>
            </xdr:nvGraphicFramePr>
            <xdr:xfrm>
              <a:off x="1943100" y="7315199"/>
              <a:ext cx="1828800" cy="1343025"/>
            </xdr:xfrm>
            <a:graphic>
              <a:graphicData uri="http://schemas.microsoft.com/office/drawing/2010/slicer">
                <sle:slicer xmlns:sle="http://schemas.microsoft.com/office/drawing/2010/slicer" name="Spacing Guild Faction"/>
              </a:graphicData>
            </a:graphic>
          </xdr:graphicFrame>
        </mc:Choice>
        <mc:Fallback>
          <xdr:sp macro="" textlink="">
            <xdr:nvSpPr>
              <xdr:cNvPr id="0" name=""/>
              <xdr:cNvSpPr>
                <a:spLocks noTextEdit="1"/>
              </xdr:cNvSpPr>
            </xdr:nvSpPr>
            <xdr:spPr>
              <a:xfrm>
                <a:off x="5987865" y="6705599"/>
                <a:ext cx="4033284"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Emperor Faction">
                <a:extLst>
                  <a:ext uri="{FF2B5EF4-FFF2-40B4-BE49-F238E27FC236}">
                    <a16:creationId xmlns:a16="http://schemas.microsoft.com/office/drawing/2014/main" id="{EB9BBE79-8FF8-896F-983C-3777E0773A9F}"/>
                  </a:ext>
                </a:extLst>
              </xdr:cNvPr>
              <xdr:cNvGraphicFramePr/>
            </xdr:nvGraphicFramePr>
            <xdr:xfrm>
              <a:off x="3790950" y="7315199"/>
              <a:ext cx="1828800" cy="1343025"/>
            </xdr:xfrm>
            <a:graphic>
              <a:graphicData uri="http://schemas.microsoft.com/office/drawing/2010/slicer">
                <sle:slicer xmlns:sle="http://schemas.microsoft.com/office/drawing/2010/slicer" name="Emperor Faction"/>
              </a:graphicData>
            </a:graphic>
          </xdr:graphicFrame>
        </mc:Choice>
        <mc:Fallback>
          <xdr:sp macro="" textlink="">
            <xdr:nvSpPr>
              <xdr:cNvPr id="0" name=""/>
              <xdr:cNvSpPr>
                <a:spLocks noTextEdit="1"/>
              </xdr:cNvSpPr>
            </xdr:nvSpPr>
            <xdr:spPr>
              <a:xfrm>
                <a:off x="10063163" y="6705599"/>
                <a:ext cx="4033284"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Fremen Faction">
                <a:extLst>
                  <a:ext uri="{FF2B5EF4-FFF2-40B4-BE49-F238E27FC236}">
                    <a16:creationId xmlns:a16="http://schemas.microsoft.com/office/drawing/2014/main" id="{8D1A051F-1FFD-0969-ACE4-C312537259F0}"/>
                  </a:ext>
                </a:extLst>
              </xdr:cNvPr>
              <xdr:cNvGraphicFramePr/>
            </xdr:nvGraphicFramePr>
            <xdr:xfrm>
              <a:off x="5648325" y="7315199"/>
              <a:ext cx="1828800" cy="1343025"/>
            </xdr:xfrm>
            <a:graphic>
              <a:graphicData uri="http://schemas.microsoft.com/office/drawing/2010/slicer">
                <sle:slicer xmlns:sle="http://schemas.microsoft.com/office/drawing/2010/slicer" name="Fremen Faction"/>
              </a:graphicData>
            </a:graphic>
          </xdr:graphicFrame>
        </mc:Choice>
        <mc:Fallback>
          <xdr:sp macro="" textlink="">
            <xdr:nvSpPr>
              <xdr:cNvPr id="0" name=""/>
              <xdr:cNvSpPr>
                <a:spLocks noTextEdit="1"/>
              </xdr:cNvSpPr>
            </xdr:nvSpPr>
            <xdr:spPr>
              <a:xfrm>
                <a:off x="14159466" y="6705599"/>
                <a:ext cx="4033284"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104775</xdr:colOff>
      <xdr:row>14</xdr:row>
      <xdr:rowOff>9525</xdr:rowOff>
    </xdr:from>
    <xdr:to>
      <xdr:col>1</xdr:col>
      <xdr:colOff>1209675</xdr:colOff>
      <xdr:row>27</xdr:row>
      <xdr:rowOff>57150</xdr:rowOff>
    </xdr:to>
    <mc:AlternateContent xmlns:mc="http://schemas.openxmlformats.org/markup-compatibility/2006">
      <mc:Choice xmlns:a14="http://schemas.microsoft.com/office/drawing/2010/main" Requires="a14">
        <xdr:graphicFrame macro="">
          <xdr:nvGraphicFramePr>
            <xdr:cNvPr id="27" name="Card Source">
              <a:extLst>
                <a:ext uri="{FF2B5EF4-FFF2-40B4-BE49-F238E27FC236}">
                  <a16:creationId xmlns:a16="http://schemas.microsoft.com/office/drawing/2014/main" id="{C687B94C-D957-3865-6B5C-F05C38E756EC}"/>
                </a:ext>
              </a:extLst>
            </xdr:cNvPr>
            <xdr:cNvGraphicFramePr/>
          </xdr:nvGraphicFramePr>
          <xdr:xfrm>
            <a:off x="0" y="0"/>
            <a:ext cx="0" cy="0"/>
          </xdr:xfrm>
          <a:graphic>
            <a:graphicData uri="http://schemas.microsoft.com/office/drawing/2010/slicer">
              <sle:slicer xmlns:sle="http://schemas.microsoft.com/office/drawing/2010/slicer" name="Card Source"/>
            </a:graphicData>
          </a:graphic>
        </xdr:graphicFrame>
      </mc:Choice>
      <mc:Fallback>
        <xdr:sp macro="" textlink="">
          <xdr:nvSpPr>
            <xdr:cNvPr id="0" name=""/>
            <xdr:cNvSpPr>
              <a:spLocks noTextEdit="1"/>
            </xdr:cNvSpPr>
          </xdr:nvSpPr>
          <xdr:spPr>
            <a:xfrm>
              <a:off x="104775" y="2676525"/>
              <a:ext cx="19812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xon J. Gluck" refreshedDate="45260.705955555553" createdVersion="8" refreshedVersion="8" minRefreshableVersion="3" recordCount="157" xr:uid="{7DD68B30-187E-4CEE-BBF5-DF3BDDF3628D}">
  <cacheSource type="worksheet">
    <worksheetSource name="Deck"/>
  </cacheSource>
  <cacheFields count="30">
    <cacheField name="Card Name" numFmtId="0">
      <sharedItems/>
    </cacheField>
    <cacheField name="Custom Imperium Deck" numFmtId="0">
      <sharedItems containsSemiMixedTypes="0" containsString="0" containsNumber="1" containsInteger="1" minValue="1" maxValue="3"/>
    </cacheField>
    <cacheField name="Base Count" numFmtId="0">
      <sharedItems containsSemiMixedTypes="0" containsString="0" containsNumber="1" containsInteger="1" minValue="1" maxValue="3"/>
    </cacheField>
    <cacheField name="Card Source" numFmtId="0">
      <sharedItems count="6">
        <s v="Base Game Imperium Row"/>
        <s v="Immortality Imperium Row"/>
        <s v="Ix Expansion Imperium Row"/>
        <s v="Promo Card"/>
        <s v="Uprising Choam Module"/>
        <s v="Uprising Imperium Row"/>
      </sharedItems>
    </cacheField>
    <cacheField name="Cost" numFmtId="0">
      <sharedItems containsSemiMixedTypes="0" containsString="0" containsNumber="1" containsInteger="1" minValue="1" maxValue="8" count="8">
        <n v="1"/>
        <n v="2"/>
        <n v="3"/>
        <n v="4"/>
        <n v="5"/>
        <n v="6"/>
        <n v="7"/>
        <n v="8"/>
      </sharedItems>
    </cacheField>
    <cacheField name="On Purchase" numFmtId="49">
      <sharedItems/>
    </cacheField>
    <cacheField name="Agent Ability" numFmtId="49">
      <sharedItems/>
    </cacheField>
    <cacheField name="Bene Gesserit Connection" numFmtId="0">
      <sharedItems count="13">
        <s v="-"/>
        <s v="+1 Influence"/>
        <s v="+2 Spice"/>
        <s v="X"/>
        <s v="Each opponent dicscards 2 cards"/>
        <s v="+1 Fremen Influence"/>
        <s v="Add GR, YL, BL icons"/>
        <s v="+2 Freighter"/>
        <s v="Draw 2 cards"/>
        <s v="Return this card to your hand"/>
        <s v="+2 Troops"/>
        <s v="Trash a card, Draw a card"/>
        <s v="Draw a card, +1 Spy"/>
      </sharedItems>
    </cacheField>
    <cacheField name="Reveal Ability" numFmtId="49">
      <sharedItems/>
    </cacheField>
    <cacheField name="Reveal Persuasion" numFmtId="0">
      <sharedItems containsMixedTypes="1" containsNumber="1" containsInteger="1" minValue="0" maxValue="3"/>
    </cacheField>
    <cacheField name="Reveal Swords" numFmtId="0">
      <sharedItems containsMixedTypes="1" containsNumber="1" containsInteger="1" minValue="1" maxValue="3"/>
    </cacheField>
    <cacheField name="Fremen Bond" numFmtId="0">
      <sharedItems count="13">
        <s v="-"/>
        <s v="+1 Spice"/>
        <s v="+1 Fremen Influence"/>
        <s v="+3 Swords"/>
        <s v="+3 Persuasion, +1 Spice"/>
        <s v="X"/>
        <s v="+2 Swords"/>
        <s v="+2 Spice"/>
        <s v="+3 Persuasion"/>
        <s v="+5 Swords"/>
        <s v="You may deploy or retreat 1 troop"/>
        <s v="+1 Water"/>
        <s v="+2 Persuasion"/>
      </sharedItems>
    </cacheField>
    <cacheField name="Unique Ability" numFmtId="0">
      <sharedItems/>
    </cacheField>
    <cacheField name="Disruptive" numFmtId="0">
      <sharedItems/>
    </cacheField>
    <cacheField name="Requires Expansion" numFmtId="0">
      <sharedItems count="4">
        <s v="-"/>
        <s v="Immortality"/>
        <s v="Ix"/>
        <s v="Uprising"/>
      </sharedItems>
    </cacheField>
    <cacheField name="Graft" numFmtId="49">
      <sharedItems count="3">
        <s v="-"/>
        <s v="Augments"/>
        <s v="Yes"/>
      </sharedItems>
    </cacheField>
    <cacheField name="Unload" numFmtId="49">
      <sharedItems count="2">
        <s v="-"/>
        <s v="Yes"/>
      </sharedItems>
    </cacheField>
    <cacheField name="Infiltration" numFmtId="0">
      <sharedItems count="2">
        <s v="-"/>
        <s v="Yes"/>
      </sharedItems>
    </cacheField>
    <cacheField name="Green Space" numFmtId="0">
      <sharedItems count="3">
        <s v="-"/>
        <s v="Yes"/>
        <s v="Sometimes"/>
      </sharedItems>
    </cacheField>
    <cacheField name="Blue Space" numFmtId="0">
      <sharedItems count="3">
        <s v="-"/>
        <s v="Yes"/>
        <s v="Sometimes"/>
      </sharedItems>
    </cacheField>
    <cacheField name="Yellow Space" numFmtId="0">
      <sharedItems count="3">
        <s v="-"/>
        <s v="Yes"/>
        <s v="Sometimes"/>
      </sharedItems>
    </cacheField>
    <cacheField name="Emperor Space" numFmtId="0">
      <sharedItems count="3">
        <s v="-"/>
        <s v="Yes"/>
        <s v="Sometimes"/>
      </sharedItems>
    </cacheField>
    <cacheField name="Guild Space" numFmtId="0">
      <sharedItems count="3">
        <s v="-"/>
        <s v="Yes"/>
        <s v="Sometimes"/>
      </sharedItems>
    </cacheField>
    <cacheField name="Bene Space" numFmtId="0">
      <sharedItems count="3">
        <s v="-"/>
        <s v="Yes"/>
        <s v="Sometimes"/>
      </sharedItems>
    </cacheField>
    <cacheField name="Fremen Space" numFmtId="0">
      <sharedItems count="3">
        <s v="-"/>
        <s v="Yes"/>
        <s v="Sometimes"/>
      </sharedItems>
    </cacheField>
    <cacheField name="Spy Space" numFmtId="0">
      <sharedItems count="2">
        <s v="-"/>
        <s v="Yes"/>
      </sharedItems>
    </cacheField>
    <cacheField name="Bene Gesserit Faction" numFmtId="0">
      <sharedItems count="3">
        <s v="-"/>
        <s v="Yes"/>
        <s v=" " u="1"/>
      </sharedItems>
    </cacheField>
    <cacheField name="Spacing Guild Faction" numFmtId="0">
      <sharedItems count="2">
        <s v="-"/>
        <s v="Yes"/>
      </sharedItems>
    </cacheField>
    <cacheField name="Emperor Faction" numFmtId="0">
      <sharedItems count="2">
        <s v="-"/>
        <s v="Yes"/>
      </sharedItems>
    </cacheField>
    <cacheField name="Fremen Faction" numFmtId="0">
      <sharedItems count="2">
        <s v="-"/>
        <s v="Yes"/>
      </sharedItems>
    </cacheField>
  </cacheFields>
  <extLst>
    <ext xmlns:x14="http://schemas.microsoft.com/office/spreadsheetml/2009/9/main" uri="{725AE2AE-9491-48be-B2B4-4EB974FC3084}">
      <x14:pivotCacheDefinition pivotCacheId="1993322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s v="Assassination Mission "/>
    <n v="2"/>
    <n v="2"/>
    <x v="0"/>
    <x v="0"/>
    <s v="-"/>
    <s v="-"/>
    <x v="0"/>
    <s v="+1 Solari"/>
    <s v="-"/>
    <n v="1"/>
    <x v="0"/>
    <s v="+4 Solari When Trashed"/>
    <s v="-"/>
    <x v="0"/>
    <x v="0"/>
    <x v="0"/>
    <x v="0"/>
    <x v="0"/>
    <x v="0"/>
    <x v="0"/>
    <x v="0"/>
    <x v="0"/>
    <x v="0"/>
    <x v="0"/>
    <x v="0"/>
    <x v="0"/>
    <x v="0"/>
    <x v="0"/>
    <x v="0"/>
  </r>
  <r>
    <s v="Dr. Yueh "/>
    <n v="1"/>
    <n v="1"/>
    <x v="0"/>
    <x v="0"/>
    <s v="-"/>
    <s v="Draw 1 card"/>
    <x v="0"/>
    <s v="-"/>
    <n v="1"/>
    <s v="-"/>
    <x v="0"/>
    <s v="-"/>
    <s v="-"/>
    <x v="0"/>
    <x v="0"/>
    <x v="0"/>
    <x v="0"/>
    <x v="0"/>
    <x v="1"/>
    <x v="0"/>
    <x v="0"/>
    <x v="0"/>
    <x v="0"/>
    <x v="0"/>
    <x v="0"/>
    <x v="0"/>
    <x v="0"/>
    <x v="0"/>
    <x v="0"/>
  </r>
  <r>
    <s v="Missionaria Protectiva "/>
    <n v="2"/>
    <n v="2"/>
    <x v="0"/>
    <x v="0"/>
    <s v="-"/>
    <s v="-"/>
    <x v="1"/>
    <s v="-"/>
    <n v="1"/>
    <s v="-"/>
    <x v="0"/>
    <s v="-"/>
    <s v="-"/>
    <x v="0"/>
    <x v="0"/>
    <x v="0"/>
    <x v="0"/>
    <x v="0"/>
    <x v="1"/>
    <x v="0"/>
    <x v="0"/>
    <x v="0"/>
    <x v="0"/>
    <x v="0"/>
    <x v="0"/>
    <x v="1"/>
    <x v="0"/>
    <x v="0"/>
    <x v="0"/>
  </r>
  <r>
    <s v="Sardaukar Infantry "/>
    <n v="2"/>
    <n v="2"/>
    <x v="0"/>
    <x v="0"/>
    <s v="-"/>
    <s v="-"/>
    <x v="0"/>
    <s v="-"/>
    <n v="1"/>
    <n v="2"/>
    <x v="0"/>
    <s v="-"/>
    <s v="-"/>
    <x v="0"/>
    <x v="0"/>
    <x v="0"/>
    <x v="0"/>
    <x v="0"/>
    <x v="0"/>
    <x v="0"/>
    <x v="0"/>
    <x v="0"/>
    <x v="0"/>
    <x v="0"/>
    <x v="0"/>
    <x v="0"/>
    <x v="0"/>
    <x v="1"/>
    <x v="0"/>
  </r>
  <r>
    <s v="Scout "/>
    <n v="2"/>
    <n v="2"/>
    <x v="0"/>
    <x v="0"/>
    <s v="-"/>
    <s v="-"/>
    <x v="0"/>
    <s v="Retreat up to 2 Troops from Conflict"/>
    <n v="1"/>
    <n v="1"/>
    <x v="0"/>
    <s v="-"/>
    <s v="-"/>
    <x v="0"/>
    <x v="0"/>
    <x v="0"/>
    <x v="0"/>
    <x v="0"/>
    <x v="1"/>
    <x v="1"/>
    <x v="0"/>
    <x v="0"/>
    <x v="0"/>
    <x v="0"/>
    <x v="0"/>
    <x v="0"/>
    <x v="0"/>
    <x v="0"/>
    <x v="0"/>
  </r>
  <r>
    <s v="Arrakis Recruiter "/>
    <n v="2"/>
    <n v="2"/>
    <x v="0"/>
    <x v="1"/>
    <s v="-"/>
    <s v="+1 Troop"/>
    <x v="0"/>
    <s v="-"/>
    <n v="1"/>
    <n v="1"/>
    <x v="0"/>
    <s v="-"/>
    <s v="-"/>
    <x v="0"/>
    <x v="0"/>
    <x v="0"/>
    <x v="0"/>
    <x v="0"/>
    <x v="1"/>
    <x v="0"/>
    <x v="0"/>
    <x v="0"/>
    <x v="0"/>
    <x v="0"/>
    <x v="0"/>
    <x v="0"/>
    <x v="0"/>
    <x v="0"/>
    <x v="0"/>
  </r>
  <r>
    <s v="Guild Administrator "/>
    <n v="2"/>
    <n v="2"/>
    <x v="0"/>
    <x v="1"/>
    <s v="-"/>
    <s v="Trash 1 card"/>
    <x v="0"/>
    <s v="-"/>
    <n v="1"/>
    <s v="-"/>
    <x v="0"/>
    <s v="-"/>
    <s v="-"/>
    <x v="0"/>
    <x v="0"/>
    <x v="0"/>
    <x v="0"/>
    <x v="0"/>
    <x v="0"/>
    <x v="1"/>
    <x v="0"/>
    <x v="1"/>
    <x v="0"/>
    <x v="0"/>
    <x v="0"/>
    <x v="0"/>
    <x v="1"/>
    <x v="0"/>
    <x v="0"/>
  </r>
  <r>
    <s v="Imperial Spy "/>
    <n v="2"/>
    <n v="2"/>
    <x v="0"/>
    <x v="1"/>
    <s v="-"/>
    <s v="Trash this card:  Draw 1 Intrigue card"/>
    <x v="0"/>
    <s v="-"/>
    <n v="1"/>
    <n v="1"/>
    <x v="0"/>
    <s v="-"/>
    <s v="-"/>
    <x v="0"/>
    <x v="0"/>
    <x v="0"/>
    <x v="0"/>
    <x v="0"/>
    <x v="0"/>
    <x v="0"/>
    <x v="1"/>
    <x v="0"/>
    <x v="0"/>
    <x v="0"/>
    <x v="0"/>
    <x v="0"/>
    <x v="0"/>
    <x v="1"/>
    <x v="0"/>
  </r>
  <r>
    <s v="Spice Hunter "/>
    <n v="2"/>
    <n v="2"/>
    <x v="0"/>
    <x v="1"/>
    <s v="-"/>
    <s v="-"/>
    <x v="0"/>
    <s v="-"/>
    <n v="1"/>
    <n v="1"/>
    <x v="1"/>
    <s v="-"/>
    <s v="-"/>
    <x v="0"/>
    <x v="0"/>
    <x v="0"/>
    <x v="0"/>
    <x v="0"/>
    <x v="0"/>
    <x v="1"/>
    <x v="0"/>
    <x v="0"/>
    <x v="0"/>
    <x v="1"/>
    <x v="0"/>
    <x v="0"/>
    <x v="0"/>
    <x v="0"/>
    <x v="1"/>
  </r>
  <r>
    <s v="Spice Smugglers "/>
    <n v="2"/>
    <n v="2"/>
    <x v="0"/>
    <x v="1"/>
    <s v="-"/>
    <s v="Pay 2 spice: +1 Spacing Guild Influence and +3 Solari"/>
    <x v="0"/>
    <s v="-"/>
    <n v="1"/>
    <n v="1"/>
    <x v="0"/>
    <s v="-"/>
    <s v="-"/>
    <x v="0"/>
    <x v="0"/>
    <x v="0"/>
    <x v="0"/>
    <x v="0"/>
    <x v="1"/>
    <x v="0"/>
    <x v="0"/>
    <x v="0"/>
    <x v="0"/>
    <x v="0"/>
    <x v="0"/>
    <x v="0"/>
    <x v="1"/>
    <x v="0"/>
    <x v="0"/>
  </r>
  <r>
    <s v="The Voice "/>
    <n v="2"/>
    <n v="2"/>
    <x v="0"/>
    <x v="1"/>
    <s v="-"/>
    <s v="Block 1 board space for Opponents this round"/>
    <x v="0"/>
    <s v="-"/>
    <n v="2"/>
    <s v="-"/>
    <x v="0"/>
    <s v="-"/>
    <s v="-"/>
    <x v="0"/>
    <x v="0"/>
    <x v="0"/>
    <x v="0"/>
    <x v="0"/>
    <x v="1"/>
    <x v="1"/>
    <x v="0"/>
    <x v="0"/>
    <x v="0"/>
    <x v="0"/>
    <x v="0"/>
    <x v="1"/>
    <x v="0"/>
    <x v="0"/>
    <x v="0"/>
  </r>
  <r>
    <s v="Bene Gesserit Initiate "/>
    <n v="2"/>
    <n v="2"/>
    <x v="0"/>
    <x v="2"/>
    <s v="-"/>
    <s v="Draw 1 card"/>
    <x v="0"/>
    <s v="-"/>
    <n v="1"/>
    <s v="-"/>
    <x v="0"/>
    <s v="-"/>
    <s v="-"/>
    <x v="0"/>
    <x v="0"/>
    <x v="0"/>
    <x v="0"/>
    <x v="1"/>
    <x v="1"/>
    <x v="1"/>
    <x v="0"/>
    <x v="0"/>
    <x v="0"/>
    <x v="0"/>
    <x v="0"/>
    <x v="1"/>
    <x v="0"/>
    <x v="0"/>
    <x v="0"/>
  </r>
  <r>
    <s v="Bene Gesserit Sister "/>
    <n v="3"/>
    <n v="3"/>
    <x v="0"/>
    <x v="2"/>
    <s v="-"/>
    <s v="-"/>
    <x v="0"/>
    <s v="+2 Persuation Or +2 Swords"/>
    <s v="-"/>
    <s v="-"/>
    <x v="0"/>
    <s v="-"/>
    <s v="-"/>
    <x v="0"/>
    <x v="0"/>
    <x v="0"/>
    <x v="0"/>
    <x v="1"/>
    <x v="0"/>
    <x v="0"/>
    <x v="0"/>
    <x v="0"/>
    <x v="1"/>
    <x v="0"/>
    <x v="0"/>
    <x v="1"/>
    <x v="0"/>
    <x v="0"/>
    <x v="0"/>
  </r>
  <r>
    <s v="Crysknife "/>
    <n v="1"/>
    <n v="1"/>
    <x v="0"/>
    <x v="2"/>
    <s v="-"/>
    <s v="+1 Solari"/>
    <x v="0"/>
    <s v="-"/>
    <s v="-"/>
    <n v="1"/>
    <x v="2"/>
    <s v="-"/>
    <s v="-"/>
    <x v="0"/>
    <x v="0"/>
    <x v="0"/>
    <x v="0"/>
    <x v="0"/>
    <x v="0"/>
    <x v="1"/>
    <x v="0"/>
    <x v="0"/>
    <x v="0"/>
    <x v="1"/>
    <x v="0"/>
    <x v="0"/>
    <x v="0"/>
    <x v="0"/>
    <x v="1"/>
  </r>
  <r>
    <s v="Fedaykin Death Commando "/>
    <n v="2"/>
    <n v="2"/>
    <x v="0"/>
    <x v="2"/>
    <s v="-"/>
    <s v="Trash a card"/>
    <x v="0"/>
    <s v="-"/>
    <n v="1"/>
    <s v="-"/>
    <x v="3"/>
    <s v="-"/>
    <s v="-"/>
    <x v="0"/>
    <x v="0"/>
    <x v="0"/>
    <x v="0"/>
    <x v="0"/>
    <x v="1"/>
    <x v="1"/>
    <x v="0"/>
    <x v="0"/>
    <x v="0"/>
    <x v="0"/>
    <x v="0"/>
    <x v="0"/>
    <x v="0"/>
    <x v="0"/>
    <x v="1"/>
  </r>
  <r>
    <s v="Gene Manipulation "/>
    <n v="2"/>
    <n v="2"/>
    <x v="0"/>
    <x v="2"/>
    <s v="-"/>
    <s v="Trash a card"/>
    <x v="2"/>
    <s v="-"/>
    <n v="2"/>
    <s v="-"/>
    <x v="0"/>
    <s v="-"/>
    <s v="-"/>
    <x v="0"/>
    <x v="0"/>
    <x v="0"/>
    <x v="0"/>
    <x v="1"/>
    <x v="1"/>
    <x v="0"/>
    <x v="0"/>
    <x v="0"/>
    <x v="0"/>
    <x v="0"/>
    <x v="0"/>
    <x v="1"/>
    <x v="0"/>
    <x v="0"/>
    <x v="0"/>
  </r>
  <r>
    <s v="Guild Bankers "/>
    <n v="1"/>
    <n v="1"/>
    <x v="0"/>
    <x v="2"/>
    <s v="-"/>
    <s v="-"/>
    <x v="0"/>
    <s v=" The Spice Must Flow costs 3 less this turn"/>
    <s v="-"/>
    <s v="-"/>
    <x v="0"/>
    <s v="-"/>
    <s v="-"/>
    <x v="0"/>
    <x v="0"/>
    <x v="0"/>
    <x v="0"/>
    <x v="1"/>
    <x v="0"/>
    <x v="0"/>
    <x v="1"/>
    <x v="1"/>
    <x v="0"/>
    <x v="0"/>
    <x v="0"/>
    <x v="0"/>
    <x v="1"/>
    <x v="0"/>
    <x v="0"/>
  </r>
  <r>
    <s v="Shifting Allegiances "/>
    <n v="2"/>
    <n v="2"/>
    <x v="0"/>
    <x v="2"/>
    <s v="-"/>
    <s v="Pay 1 Influence and 2 Spice to gain +2 other Influence"/>
    <x v="0"/>
    <s v="-"/>
    <n v="2"/>
    <s v="-"/>
    <x v="0"/>
    <s v="-"/>
    <s v="-"/>
    <x v="0"/>
    <x v="0"/>
    <x v="0"/>
    <x v="0"/>
    <x v="1"/>
    <x v="0"/>
    <x v="1"/>
    <x v="0"/>
    <x v="0"/>
    <x v="0"/>
    <x v="0"/>
    <x v="0"/>
    <x v="0"/>
    <x v="0"/>
    <x v="0"/>
    <x v="0"/>
  </r>
  <r>
    <s v="Space Travel "/>
    <n v="2"/>
    <n v="2"/>
    <x v="0"/>
    <x v="2"/>
    <s v="-"/>
    <s v="Draw 1 card"/>
    <x v="0"/>
    <s v="-"/>
    <n v="2"/>
    <s v="-"/>
    <x v="0"/>
    <s v="-"/>
    <s v="-"/>
    <x v="0"/>
    <x v="0"/>
    <x v="0"/>
    <x v="0"/>
    <x v="0"/>
    <x v="0"/>
    <x v="0"/>
    <x v="0"/>
    <x v="1"/>
    <x v="0"/>
    <x v="0"/>
    <x v="0"/>
    <x v="0"/>
    <x v="1"/>
    <x v="0"/>
    <x v="0"/>
  </r>
  <r>
    <s v="Test of Humanity "/>
    <n v="1"/>
    <n v="1"/>
    <x v="0"/>
    <x v="2"/>
    <s v="-"/>
    <s v="Opponents discard 1 card or lose 1 deployed Troop"/>
    <x v="0"/>
    <s v="-"/>
    <n v="2"/>
    <s v="-"/>
    <x v="0"/>
    <s v="-"/>
    <s v="Yes"/>
    <x v="0"/>
    <x v="0"/>
    <x v="0"/>
    <x v="0"/>
    <x v="1"/>
    <x v="1"/>
    <x v="0"/>
    <x v="0"/>
    <x v="0"/>
    <x v="1"/>
    <x v="0"/>
    <x v="0"/>
    <x v="1"/>
    <x v="0"/>
    <x v="0"/>
    <x v="0"/>
  </r>
  <r>
    <s v="Duncan Idaho "/>
    <n v="1"/>
    <n v="1"/>
    <x v="0"/>
    <x v="3"/>
    <s v="-"/>
    <s v="Pay 1 water: +1 Troop and Draw 1 card"/>
    <x v="0"/>
    <s v="+1 Water"/>
    <s v="-"/>
    <n v="2"/>
    <x v="0"/>
    <s v="-"/>
    <s v="-"/>
    <x v="0"/>
    <x v="0"/>
    <x v="0"/>
    <x v="0"/>
    <x v="0"/>
    <x v="1"/>
    <x v="0"/>
    <x v="0"/>
    <x v="0"/>
    <x v="0"/>
    <x v="0"/>
    <x v="0"/>
    <x v="0"/>
    <x v="0"/>
    <x v="0"/>
    <x v="0"/>
  </r>
  <r>
    <s v="Firm Grip "/>
    <n v="1"/>
    <n v="1"/>
    <x v="0"/>
    <x v="3"/>
    <s v="-"/>
    <s v="Pay 2 Solari: +1 Influence with: Spacing Guild OR Bene Gesserit OR Fremen"/>
    <x v="0"/>
    <s v="Having Emperor Alliance: +4 Persuasion"/>
    <s v="-"/>
    <s v="-"/>
    <x v="0"/>
    <s v="-"/>
    <s v="-"/>
    <x v="0"/>
    <x v="0"/>
    <x v="0"/>
    <x v="0"/>
    <x v="1"/>
    <x v="0"/>
    <x v="0"/>
    <x v="1"/>
    <x v="0"/>
    <x v="0"/>
    <x v="0"/>
    <x v="0"/>
    <x v="0"/>
    <x v="0"/>
    <x v="1"/>
    <x v="0"/>
  </r>
  <r>
    <s v="Fremen Camp "/>
    <n v="2"/>
    <n v="2"/>
    <x v="0"/>
    <x v="3"/>
    <s v="-"/>
    <s v="Pay 2 Spice: +3 Troops"/>
    <x v="0"/>
    <s v="-"/>
    <n v="2"/>
    <n v="1"/>
    <x v="0"/>
    <s v="-"/>
    <s v="-"/>
    <x v="0"/>
    <x v="0"/>
    <x v="0"/>
    <x v="0"/>
    <x v="0"/>
    <x v="0"/>
    <x v="1"/>
    <x v="0"/>
    <x v="0"/>
    <x v="0"/>
    <x v="0"/>
    <x v="0"/>
    <x v="0"/>
    <x v="0"/>
    <x v="0"/>
    <x v="1"/>
  </r>
  <r>
    <s v="Guild Ambassador "/>
    <n v="1"/>
    <n v="1"/>
    <x v="0"/>
    <x v="3"/>
    <s v="-"/>
    <s v="+1 Spacing Guild Influence or +2 Spice"/>
    <x v="0"/>
    <s v="Having Spacing Guild Alliance: Pay 3 Spice for +1 VP"/>
    <s v="-"/>
    <s v="-"/>
    <x v="0"/>
    <s v="-"/>
    <s v="-"/>
    <x v="0"/>
    <x v="0"/>
    <x v="0"/>
    <x v="0"/>
    <x v="1"/>
    <x v="0"/>
    <x v="0"/>
    <x v="0"/>
    <x v="0"/>
    <x v="0"/>
    <x v="0"/>
    <x v="0"/>
    <x v="0"/>
    <x v="1"/>
    <x v="0"/>
    <x v="0"/>
  </r>
  <r>
    <s v="Gun Thopter "/>
    <n v="2"/>
    <n v="2"/>
    <x v="0"/>
    <x v="3"/>
    <s v="-"/>
    <s v="Each opponent loses 1 Garrisoned Troop"/>
    <x v="0"/>
    <s v="You may deploy a troop from your Garrison to the Conflict"/>
    <s v="-"/>
    <n v="3"/>
    <x v="0"/>
    <s v="-"/>
    <s v="Yes"/>
    <x v="0"/>
    <x v="0"/>
    <x v="0"/>
    <x v="0"/>
    <x v="0"/>
    <x v="1"/>
    <x v="1"/>
    <x v="0"/>
    <x v="0"/>
    <x v="0"/>
    <x v="0"/>
    <x v="0"/>
    <x v="0"/>
    <x v="0"/>
    <x v="0"/>
    <x v="0"/>
  </r>
  <r>
    <s v="Other Memory "/>
    <n v="1"/>
    <n v="1"/>
    <x v="0"/>
    <x v="3"/>
    <s v="-"/>
    <s v="Draw 1 card or Draw 1 Bene Gesserit card from your discard pile"/>
    <x v="3"/>
    <s v="-"/>
    <n v="2"/>
    <s v="-"/>
    <x v="0"/>
    <s v="-"/>
    <s v="-"/>
    <x v="0"/>
    <x v="0"/>
    <x v="0"/>
    <x v="0"/>
    <x v="0"/>
    <x v="1"/>
    <x v="1"/>
    <x v="0"/>
    <x v="0"/>
    <x v="0"/>
    <x v="0"/>
    <x v="0"/>
    <x v="1"/>
    <x v="0"/>
    <x v="0"/>
    <x v="0"/>
  </r>
  <r>
    <s v="Sietch Reverend Mother "/>
    <n v="1"/>
    <n v="1"/>
    <x v="0"/>
    <x v="3"/>
    <s v="-"/>
    <s v="Trash a card"/>
    <x v="0"/>
    <s v="-"/>
    <s v="-"/>
    <s v="-"/>
    <x v="4"/>
    <s v="-"/>
    <s v="-"/>
    <x v="0"/>
    <x v="0"/>
    <x v="0"/>
    <x v="0"/>
    <x v="0"/>
    <x v="0"/>
    <x v="0"/>
    <x v="0"/>
    <x v="0"/>
    <x v="1"/>
    <x v="1"/>
    <x v="0"/>
    <x v="1"/>
    <x v="0"/>
    <x v="0"/>
    <x v="1"/>
  </r>
  <r>
    <s v="Smuggler's Thopter "/>
    <n v="2"/>
    <n v="2"/>
    <x v="0"/>
    <x v="3"/>
    <s v="-"/>
    <s v="With 2 Spacing Guild Influence: Draw 2 cards"/>
    <x v="0"/>
    <s v="+1 Spice"/>
    <n v="1"/>
    <s v="-"/>
    <x v="0"/>
    <s v="-"/>
    <s v="-"/>
    <x v="0"/>
    <x v="0"/>
    <x v="0"/>
    <x v="0"/>
    <x v="0"/>
    <x v="0"/>
    <x v="1"/>
    <x v="0"/>
    <x v="0"/>
    <x v="0"/>
    <x v="0"/>
    <x v="0"/>
    <x v="0"/>
    <x v="1"/>
    <x v="0"/>
    <x v="0"/>
  </r>
  <r>
    <s v="Carryall "/>
    <n v="1"/>
    <n v="1"/>
    <x v="0"/>
    <x v="4"/>
    <s v="-"/>
    <s v="Double base spice harvest (not bonus)"/>
    <x v="0"/>
    <s v="+1 Spice"/>
    <n v="1"/>
    <s v="-"/>
    <x v="0"/>
    <s v="-"/>
    <s v="-"/>
    <x v="0"/>
    <x v="0"/>
    <x v="0"/>
    <x v="0"/>
    <x v="0"/>
    <x v="0"/>
    <x v="1"/>
    <x v="0"/>
    <x v="0"/>
    <x v="0"/>
    <x v="0"/>
    <x v="0"/>
    <x v="0"/>
    <x v="0"/>
    <x v="0"/>
    <x v="0"/>
  </r>
  <r>
    <s v="Chani "/>
    <n v="1"/>
    <n v="1"/>
    <x v="0"/>
    <x v="4"/>
    <s v=" +1 Water"/>
    <s v="-"/>
    <x v="0"/>
    <s v="Retreat any number of Troops"/>
    <n v="2"/>
    <s v="-"/>
    <x v="0"/>
    <s v="-"/>
    <s v="-"/>
    <x v="0"/>
    <x v="0"/>
    <x v="0"/>
    <x v="0"/>
    <x v="0"/>
    <x v="1"/>
    <x v="1"/>
    <x v="0"/>
    <x v="0"/>
    <x v="0"/>
    <x v="1"/>
    <x v="0"/>
    <x v="0"/>
    <x v="0"/>
    <x v="0"/>
    <x v="1"/>
  </r>
  <r>
    <s v="Liet Kynes "/>
    <n v="1"/>
    <n v="1"/>
    <x v="0"/>
    <x v="4"/>
    <s v="+1 Emperor Influence"/>
    <s v="-"/>
    <x v="0"/>
    <s v="+2 Persuation for each Fremen card in play, including this one"/>
    <s v="-"/>
    <s v="-"/>
    <x v="5"/>
    <s v="-"/>
    <s v="-"/>
    <x v="0"/>
    <x v="0"/>
    <x v="0"/>
    <x v="0"/>
    <x v="0"/>
    <x v="1"/>
    <x v="0"/>
    <x v="0"/>
    <x v="0"/>
    <x v="0"/>
    <x v="1"/>
    <x v="0"/>
    <x v="0"/>
    <x v="0"/>
    <x v="1"/>
    <x v="1"/>
  </r>
  <r>
    <s v="Piter De Vries "/>
    <n v="1"/>
    <n v="1"/>
    <x v="0"/>
    <x v="4"/>
    <s v="-"/>
    <s v="Draw 1 Intrigue card"/>
    <x v="0"/>
    <s v="-"/>
    <n v="3"/>
    <n v="1"/>
    <x v="0"/>
    <s v="-"/>
    <s v="-"/>
    <x v="0"/>
    <x v="0"/>
    <x v="0"/>
    <x v="0"/>
    <x v="1"/>
    <x v="1"/>
    <x v="0"/>
    <x v="0"/>
    <x v="0"/>
    <x v="0"/>
    <x v="0"/>
    <x v="0"/>
    <x v="0"/>
    <x v="0"/>
    <x v="0"/>
    <x v="0"/>
  </r>
  <r>
    <s v="Power Play "/>
    <n v="3"/>
    <n v="3"/>
    <x v="0"/>
    <x v="4"/>
    <s v="-"/>
    <s v="+2 Influence instead of +1 Influence and Trash this card"/>
    <x v="0"/>
    <s v="-"/>
    <s v="-"/>
    <s v="-"/>
    <x v="0"/>
    <s v="-"/>
    <s v="-"/>
    <x v="0"/>
    <x v="0"/>
    <x v="0"/>
    <x v="0"/>
    <x v="0"/>
    <x v="0"/>
    <x v="0"/>
    <x v="1"/>
    <x v="1"/>
    <x v="1"/>
    <x v="1"/>
    <x v="0"/>
    <x v="0"/>
    <x v="0"/>
    <x v="0"/>
    <x v="0"/>
  </r>
  <r>
    <s v="Sardaukar Legion "/>
    <n v="2"/>
    <n v="2"/>
    <x v="0"/>
    <x v="4"/>
    <s v="-"/>
    <s v="+2 Troops"/>
    <x v="0"/>
    <s v="Deploy up to 3 troops from Garrison to Conflict"/>
    <n v="1"/>
    <s v="-"/>
    <x v="0"/>
    <s v="-"/>
    <s v="-"/>
    <x v="0"/>
    <x v="0"/>
    <x v="0"/>
    <x v="0"/>
    <x v="1"/>
    <x v="0"/>
    <x v="0"/>
    <x v="1"/>
    <x v="0"/>
    <x v="0"/>
    <x v="0"/>
    <x v="0"/>
    <x v="0"/>
    <x v="0"/>
    <x v="1"/>
    <x v="0"/>
  </r>
  <r>
    <s v="Stilgar "/>
    <n v="1"/>
    <n v="1"/>
    <x v="0"/>
    <x v="4"/>
    <s v="-"/>
    <s v="+1 Water"/>
    <x v="0"/>
    <s v="-"/>
    <n v="2"/>
    <n v="3"/>
    <x v="0"/>
    <s v="-"/>
    <s v="-"/>
    <x v="0"/>
    <x v="0"/>
    <x v="0"/>
    <x v="0"/>
    <x v="0"/>
    <x v="1"/>
    <x v="1"/>
    <x v="0"/>
    <x v="0"/>
    <x v="0"/>
    <x v="1"/>
    <x v="0"/>
    <x v="0"/>
    <x v="0"/>
    <x v="0"/>
    <x v="1"/>
  </r>
  <r>
    <s v="Thufir Hawat "/>
    <n v="1"/>
    <n v="1"/>
    <x v="0"/>
    <x v="4"/>
    <s v="-"/>
    <s v="Draw 1 card"/>
    <x v="0"/>
    <s v="Draw 1 Intrigue card"/>
    <n v="1"/>
    <s v="-"/>
    <x v="0"/>
    <s v="-"/>
    <s v="-"/>
    <x v="0"/>
    <x v="0"/>
    <x v="0"/>
    <x v="0"/>
    <x v="0"/>
    <x v="1"/>
    <x v="1"/>
    <x v="1"/>
    <x v="1"/>
    <x v="1"/>
    <x v="1"/>
    <x v="0"/>
    <x v="0"/>
    <x v="0"/>
    <x v="0"/>
    <x v="0"/>
  </r>
  <r>
    <s v="Gurney Halleck "/>
    <n v="1"/>
    <n v="1"/>
    <x v="0"/>
    <x v="5"/>
    <s v="-"/>
    <s v="+2 Troops and Draw 1 card"/>
    <x v="0"/>
    <s v="Pay 3 solari: +2 Troops to Garrison or Conflict"/>
    <n v="2"/>
    <s v="-"/>
    <x v="0"/>
    <s v="-"/>
    <s v="-"/>
    <x v="0"/>
    <x v="0"/>
    <x v="0"/>
    <x v="0"/>
    <x v="0"/>
    <x v="1"/>
    <x v="0"/>
    <x v="0"/>
    <x v="0"/>
    <x v="0"/>
    <x v="0"/>
    <x v="0"/>
    <x v="0"/>
    <x v="0"/>
    <x v="0"/>
    <x v="0"/>
  </r>
  <r>
    <s v="Opulence "/>
    <n v="1"/>
    <n v="1"/>
    <x v="0"/>
    <x v="5"/>
    <s v="-"/>
    <s v="+3 Solari"/>
    <x v="0"/>
    <s v="Pay 6 Solari for +1 VP"/>
    <n v="1"/>
    <s v="-"/>
    <x v="0"/>
    <s v="-"/>
    <s v="-"/>
    <x v="0"/>
    <x v="0"/>
    <x v="0"/>
    <x v="0"/>
    <x v="0"/>
    <x v="0"/>
    <x v="0"/>
    <x v="1"/>
    <x v="0"/>
    <x v="0"/>
    <x v="0"/>
    <x v="0"/>
    <x v="0"/>
    <x v="0"/>
    <x v="1"/>
    <x v="0"/>
  </r>
  <r>
    <s v="Reverend Mother Mohaim "/>
    <n v="1"/>
    <n v="1"/>
    <x v="0"/>
    <x v="5"/>
    <s v="-"/>
    <s v="-"/>
    <x v="4"/>
    <s v="+2 Spice"/>
    <n v="2"/>
    <s v="-"/>
    <x v="0"/>
    <s v="-"/>
    <s v="Yes"/>
    <x v="0"/>
    <x v="0"/>
    <x v="0"/>
    <x v="0"/>
    <x v="0"/>
    <x v="0"/>
    <x v="0"/>
    <x v="1"/>
    <x v="0"/>
    <x v="1"/>
    <x v="0"/>
    <x v="0"/>
    <x v="1"/>
    <x v="0"/>
    <x v="1"/>
    <x v="0"/>
  </r>
  <r>
    <s v="Worm Riders "/>
    <n v="2"/>
    <n v="2"/>
    <x v="0"/>
    <x v="5"/>
    <s v="-"/>
    <s v="+2 Spice"/>
    <x v="0"/>
    <s v="Having 2 Fremen Influence: +4 Swords and Having Fremen Alliance: +2 swords"/>
    <s v="-"/>
    <s v="-"/>
    <x v="0"/>
    <s v="-"/>
    <s v="-"/>
    <x v="0"/>
    <x v="0"/>
    <x v="0"/>
    <x v="0"/>
    <x v="0"/>
    <x v="1"/>
    <x v="1"/>
    <x v="0"/>
    <x v="0"/>
    <x v="0"/>
    <x v="0"/>
    <x v="0"/>
    <x v="0"/>
    <x v="0"/>
    <x v="0"/>
    <x v="1"/>
  </r>
  <r>
    <s v="Lady Jessica "/>
    <n v="1"/>
    <n v="1"/>
    <x v="0"/>
    <x v="6"/>
    <s v=" +1 Influence"/>
    <s v="Draw 2 cards"/>
    <x v="0"/>
    <s v="-"/>
    <n v="3"/>
    <n v="1"/>
    <x v="0"/>
    <s v="-"/>
    <s v="-"/>
    <x v="0"/>
    <x v="0"/>
    <x v="0"/>
    <x v="0"/>
    <x v="1"/>
    <x v="1"/>
    <x v="1"/>
    <x v="0"/>
    <x v="0"/>
    <x v="1"/>
    <x v="0"/>
    <x v="0"/>
    <x v="1"/>
    <x v="0"/>
    <x v="0"/>
    <x v="0"/>
  </r>
  <r>
    <s v="Choam Directorship"/>
    <n v="1"/>
    <n v="1"/>
    <x v="0"/>
    <x v="7"/>
    <s v="+1 Influence to all 4 Factions"/>
    <s v="-"/>
    <x v="0"/>
    <s v="+3 Solari"/>
    <s v="-"/>
    <s v="-"/>
    <x v="0"/>
    <s v="-"/>
    <s v="-"/>
    <x v="0"/>
    <x v="0"/>
    <x v="0"/>
    <x v="0"/>
    <x v="0"/>
    <x v="0"/>
    <x v="0"/>
    <x v="0"/>
    <x v="0"/>
    <x v="0"/>
    <x v="0"/>
    <x v="0"/>
    <x v="0"/>
    <x v="0"/>
    <x v="0"/>
    <x v="0"/>
  </r>
  <r>
    <s v="Kwisatz Haderach "/>
    <n v="1"/>
    <n v="1"/>
    <x v="0"/>
    <x v="7"/>
    <s v="-"/>
    <s v="Send one of your agents from anywhere to any board space and Draw 1 card"/>
    <x v="0"/>
    <s v="-"/>
    <s v="-"/>
    <s v="-"/>
    <x v="0"/>
    <s v="-"/>
    <s v="-"/>
    <x v="0"/>
    <x v="0"/>
    <x v="0"/>
    <x v="0"/>
    <x v="1"/>
    <x v="1"/>
    <x v="1"/>
    <x v="1"/>
    <x v="1"/>
    <x v="1"/>
    <x v="1"/>
    <x v="0"/>
    <x v="1"/>
    <x v="0"/>
    <x v="0"/>
    <x v="0"/>
  </r>
  <r>
    <s v="Blank Slate"/>
    <n v="1"/>
    <n v="1"/>
    <x v="1"/>
    <x v="0"/>
    <s v="-"/>
    <s v="If grafted: Add EM, SG, FR, BG agent icons"/>
    <x v="0"/>
    <s v="-"/>
    <n v="1"/>
    <s v="0"/>
    <x v="0"/>
    <s v="-"/>
    <s v="-"/>
    <x v="0"/>
    <x v="1"/>
    <x v="0"/>
    <x v="0"/>
    <x v="1"/>
    <x v="1"/>
    <x v="1"/>
    <x v="2"/>
    <x v="2"/>
    <x v="2"/>
    <x v="2"/>
    <x v="0"/>
    <x v="0"/>
    <x v="0"/>
    <x v="0"/>
    <x v="0"/>
  </r>
  <r>
    <s v="High Priority Travel"/>
    <n v="2"/>
    <n v="2"/>
    <x v="1"/>
    <x v="0"/>
    <s v="-"/>
    <s v="if 2 inf with Spacing Guild: 1x draw or combat space "/>
    <x v="0"/>
    <s v="+1 Solari"/>
    <n v="1"/>
    <s v="0"/>
    <x v="0"/>
    <s v="-"/>
    <s v="-"/>
    <x v="0"/>
    <x v="0"/>
    <x v="0"/>
    <x v="0"/>
    <x v="1"/>
    <x v="0"/>
    <x v="1"/>
    <x v="0"/>
    <x v="0"/>
    <x v="0"/>
    <x v="0"/>
    <x v="0"/>
    <x v="0"/>
    <x v="1"/>
    <x v="0"/>
    <x v="0"/>
  </r>
  <r>
    <s v="Bene Tleilax Lab"/>
    <n v="1"/>
    <n v="1"/>
    <x v="1"/>
    <x v="1"/>
    <s v="-"/>
    <s v="+1 Specimen"/>
    <x v="0"/>
    <s v="Research lvl 1: +1 spice"/>
    <n v="1"/>
    <s v="0"/>
    <x v="0"/>
    <s v="-"/>
    <s v="-"/>
    <x v="1"/>
    <x v="0"/>
    <x v="0"/>
    <x v="0"/>
    <x v="0"/>
    <x v="1"/>
    <x v="1"/>
    <x v="0"/>
    <x v="0"/>
    <x v="0"/>
    <x v="0"/>
    <x v="0"/>
    <x v="0"/>
    <x v="0"/>
    <x v="0"/>
    <x v="0"/>
  </r>
  <r>
    <s v="Dissecting Kit"/>
    <n v="2"/>
    <n v="2"/>
    <x v="1"/>
    <x v="1"/>
    <s v="-"/>
    <s v="Trash other grafted card --&gt; +1 Specimen"/>
    <x v="0"/>
    <s v="Research lvl 1: Beetle"/>
    <n v="1"/>
    <s v="0"/>
    <x v="0"/>
    <s v="-"/>
    <s v="-"/>
    <x v="1"/>
    <x v="2"/>
    <x v="0"/>
    <x v="0"/>
    <x v="1"/>
    <x v="1"/>
    <x v="0"/>
    <x v="0"/>
    <x v="0"/>
    <x v="0"/>
    <x v="0"/>
    <x v="0"/>
    <x v="0"/>
    <x v="0"/>
    <x v="0"/>
    <x v="0"/>
  </r>
  <r>
    <s v="Organ Merchants"/>
    <n v="1"/>
    <n v="1"/>
    <x v="1"/>
    <x v="2"/>
    <s v="-"/>
    <s v="1 Specimen --&gt; +4 Solari"/>
    <x v="0"/>
    <s v="+1 Solari"/>
    <n v="1"/>
    <s v="0"/>
    <x v="0"/>
    <s v="-"/>
    <s v="-"/>
    <x v="1"/>
    <x v="0"/>
    <x v="0"/>
    <x v="0"/>
    <x v="0"/>
    <x v="1"/>
    <x v="1"/>
    <x v="0"/>
    <x v="0"/>
    <x v="0"/>
    <x v="0"/>
    <x v="0"/>
    <x v="0"/>
    <x v="0"/>
    <x v="0"/>
    <x v="0"/>
  </r>
  <r>
    <s v="Sardukar Quartermaster"/>
    <n v="1"/>
    <n v="1"/>
    <x v="1"/>
    <x v="1"/>
    <s v="-"/>
    <s v="If grafted: +1 Troop, 1x draw"/>
    <x v="0"/>
    <s v="-"/>
    <n v="1"/>
    <s v="2"/>
    <x v="0"/>
    <s v="-"/>
    <s v="-"/>
    <x v="0"/>
    <x v="1"/>
    <x v="0"/>
    <x v="0"/>
    <x v="1"/>
    <x v="1"/>
    <x v="0"/>
    <x v="0"/>
    <x v="0"/>
    <x v="0"/>
    <x v="0"/>
    <x v="0"/>
    <x v="0"/>
    <x v="0"/>
    <x v="1"/>
    <x v="0"/>
  </r>
  <r>
    <s v="Shadout Mapes"/>
    <n v="1"/>
    <n v="1"/>
    <x v="1"/>
    <x v="1"/>
    <s v="-"/>
    <s v="-"/>
    <x v="0"/>
    <s v="May deploy or retreat 1 of your Troops"/>
    <n v="1"/>
    <s v="1"/>
    <x v="0"/>
    <s v="-"/>
    <s v="-"/>
    <x v="0"/>
    <x v="0"/>
    <x v="0"/>
    <x v="0"/>
    <x v="0"/>
    <x v="0"/>
    <x v="1"/>
    <x v="0"/>
    <x v="0"/>
    <x v="0"/>
    <x v="1"/>
    <x v="0"/>
    <x v="0"/>
    <x v="0"/>
    <x v="0"/>
    <x v="1"/>
  </r>
  <r>
    <s v="Spiritual Ferver"/>
    <n v="2"/>
    <n v="2"/>
    <x v="1"/>
    <x v="2"/>
    <s v="+1 Research"/>
    <s v="-"/>
    <x v="0"/>
    <s v="+1 Specimen"/>
    <n v="1"/>
    <s v="0"/>
    <x v="0"/>
    <s v="-"/>
    <s v="-"/>
    <x v="1"/>
    <x v="0"/>
    <x v="0"/>
    <x v="0"/>
    <x v="0"/>
    <x v="0"/>
    <x v="1"/>
    <x v="0"/>
    <x v="0"/>
    <x v="0"/>
    <x v="0"/>
    <x v="0"/>
    <x v="0"/>
    <x v="0"/>
    <x v="0"/>
    <x v="0"/>
  </r>
  <r>
    <s v="Corrupt Smuggler"/>
    <n v="1"/>
    <n v="1"/>
    <x v="1"/>
    <x v="2"/>
    <s v="-"/>
    <s v="If grafted: +2 Spice"/>
    <x v="0"/>
    <s v="-"/>
    <n v="1"/>
    <s v="1"/>
    <x v="0"/>
    <s v="-"/>
    <s v="-"/>
    <x v="0"/>
    <x v="1"/>
    <x v="0"/>
    <x v="0"/>
    <x v="0"/>
    <x v="0"/>
    <x v="1"/>
    <x v="0"/>
    <x v="1"/>
    <x v="0"/>
    <x v="0"/>
    <x v="0"/>
    <x v="0"/>
    <x v="1"/>
    <x v="0"/>
    <x v="1"/>
  </r>
  <r>
    <s v="Tleilaxu Surgeon"/>
    <n v="1"/>
    <n v="1"/>
    <x v="1"/>
    <x v="2"/>
    <s v="-"/>
    <s v="2 Specimen --&gt; 2 Beetle"/>
    <x v="0"/>
    <s v="Lose 2 Troops--&gt; +2 Specimen"/>
    <n v="2"/>
    <s v="0"/>
    <x v="0"/>
    <s v="-"/>
    <s v="-"/>
    <x v="1"/>
    <x v="0"/>
    <x v="0"/>
    <x v="0"/>
    <x v="0"/>
    <x v="1"/>
    <x v="0"/>
    <x v="1"/>
    <x v="0"/>
    <x v="0"/>
    <x v="0"/>
    <x v="0"/>
    <x v="0"/>
    <x v="0"/>
    <x v="0"/>
    <x v="0"/>
  </r>
  <r>
    <s v="Planned Coupling"/>
    <n v="2"/>
    <n v="2"/>
    <x v="1"/>
    <x v="2"/>
    <s v="-"/>
    <s v="1x draw"/>
    <x v="0"/>
    <s v="-"/>
    <n v="1"/>
    <s v="0"/>
    <x v="0"/>
    <s v="-"/>
    <s v="-"/>
    <x v="0"/>
    <x v="2"/>
    <x v="0"/>
    <x v="0"/>
    <x v="0"/>
    <x v="0"/>
    <x v="0"/>
    <x v="0"/>
    <x v="0"/>
    <x v="1"/>
    <x v="0"/>
    <x v="0"/>
    <x v="1"/>
    <x v="0"/>
    <x v="0"/>
    <x v="0"/>
  </r>
  <r>
    <s v="Show of Strength"/>
    <n v="1"/>
    <n v="1"/>
    <x v="1"/>
    <x v="2"/>
    <s v="-"/>
    <s v="2x draw, If more depl troops than Opps: Gr, Yw icons"/>
    <x v="0"/>
    <s v="-"/>
    <n v="1"/>
    <s v="2"/>
    <x v="0"/>
    <s v="-"/>
    <s v="-"/>
    <x v="0"/>
    <x v="0"/>
    <x v="0"/>
    <x v="0"/>
    <x v="2"/>
    <x v="0"/>
    <x v="2"/>
    <x v="0"/>
    <x v="0"/>
    <x v="0"/>
    <x v="0"/>
    <x v="0"/>
    <x v="0"/>
    <x v="0"/>
    <x v="1"/>
    <x v="1"/>
  </r>
  <r>
    <s v="Bene Tleilax Researcher"/>
    <n v="1"/>
    <n v="1"/>
    <x v="1"/>
    <x v="3"/>
    <s v="-"/>
    <s v="+1 Research"/>
    <x v="0"/>
    <s v="Research lvl 1: +1 persuasion, Research lvl 2: +1 persuasion"/>
    <n v="1"/>
    <s v="0"/>
    <x v="0"/>
    <s v="-"/>
    <s v="-"/>
    <x v="1"/>
    <x v="2"/>
    <x v="0"/>
    <x v="0"/>
    <x v="1"/>
    <x v="0"/>
    <x v="0"/>
    <x v="0"/>
    <x v="0"/>
    <x v="0"/>
    <x v="0"/>
    <x v="0"/>
    <x v="0"/>
    <x v="0"/>
    <x v="0"/>
    <x v="0"/>
  </r>
  <r>
    <s v="Replacement Eyes"/>
    <n v="1"/>
    <n v="1"/>
    <x v="1"/>
    <x v="4"/>
    <s v="-"/>
    <s v="1x trash --&gt; 1x draw. When this card trashed: Beetle"/>
    <x v="0"/>
    <s v="-"/>
    <n v="1"/>
    <s v="1"/>
    <x v="0"/>
    <s v="-"/>
    <s v="-"/>
    <x v="1"/>
    <x v="2"/>
    <x v="0"/>
    <x v="0"/>
    <x v="0"/>
    <x v="1"/>
    <x v="0"/>
    <x v="0"/>
    <x v="0"/>
    <x v="0"/>
    <x v="0"/>
    <x v="0"/>
    <x v="0"/>
    <x v="0"/>
    <x v="0"/>
    <x v="0"/>
  </r>
  <r>
    <s v="Tleilaxu Master"/>
    <n v="2"/>
    <n v="2"/>
    <x v="1"/>
    <x v="4"/>
    <s v="-"/>
    <s v="Res lvl 1: May acquire a 6 card. Res lvl 2: Put it in hard"/>
    <x v="0"/>
    <s v="+2 Research"/>
    <n v="1"/>
    <s v="0"/>
    <x v="0"/>
    <s v="-"/>
    <s v="-"/>
    <x v="1"/>
    <x v="0"/>
    <x v="0"/>
    <x v="0"/>
    <x v="1"/>
    <x v="0"/>
    <x v="1"/>
    <x v="0"/>
    <x v="0"/>
    <x v="0"/>
    <x v="0"/>
    <x v="0"/>
    <x v="0"/>
    <x v="0"/>
    <x v="0"/>
    <x v="0"/>
  </r>
  <r>
    <s v="Clandestine Meeting"/>
    <n v="1"/>
    <n v="1"/>
    <x v="1"/>
    <x v="3"/>
    <s v="-"/>
    <s v="+1 Bene Gesserit Influence, +1 Intrigue"/>
    <x v="0"/>
    <s v="-"/>
    <n v="2"/>
    <s v="0"/>
    <x v="0"/>
    <s v="-"/>
    <s v="-"/>
    <x v="0"/>
    <x v="1"/>
    <x v="0"/>
    <x v="0"/>
    <x v="0"/>
    <x v="0"/>
    <x v="0"/>
    <x v="0"/>
    <x v="0"/>
    <x v="0"/>
    <x v="0"/>
    <x v="0"/>
    <x v="1"/>
    <x v="0"/>
    <x v="0"/>
    <x v="0"/>
  </r>
  <r>
    <s v="Interstellar Conspiracy"/>
    <n v="1"/>
    <n v="1"/>
    <x v="1"/>
    <x v="3"/>
    <s v="-"/>
    <s v="+1 Spice, If graft with EM/SG card: +1 inf"/>
    <x v="0"/>
    <s v="-"/>
    <n v="2"/>
    <s v="0"/>
    <x v="0"/>
    <s v="-"/>
    <s v="-"/>
    <x v="0"/>
    <x v="2"/>
    <x v="0"/>
    <x v="0"/>
    <x v="0"/>
    <x v="1"/>
    <x v="0"/>
    <x v="0"/>
    <x v="0"/>
    <x v="0"/>
    <x v="0"/>
    <x v="0"/>
    <x v="0"/>
    <x v="0"/>
    <x v="0"/>
    <x v="0"/>
  </r>
  <r>
    <s v="Lisan Al Gaib"/>
    <n v="1"/>
    <n v="1"/>
    <x v="1"/>
    <x v="3"/>
    <s v="+1 Spice"/>
    <s v="-"/>
    <x v="5"/>
    <s v="-"/>
    <n v="1"/>
    <s v="-"/>
    <x v="6"/>
    <s v="-"/>
    <s v="-"/>
    <x v="0"/>
    <x v="0"/>
    <x v="0"/>
    <x v="0"/>
    <x v="0"/>
    <x v="1"/>
    <x v="1"/>
    <x v="0"/>
    <x v="0"/>
    <x v="0"/>
    <x v="1"/>
    <x v="0"/>
    <x v="1"/>
    <x v="0"/>
    <x v="0"/>
    <x v="1"/>
  </r>
  <r>
    <s v="Throne Room Politics"/>
    <n v="1"/>
    <n v="1"/>
    <x v="1"/>
    <x v="3"/>
    <s v="-"/>
    <s v="+1 Troop, 1x trash"/>
    <x v="0"/>
    <s v="+1 Inf BG"/>
    <n v="1"/>
    <s v="0"/>
    <x v="0"/>
    <s v="-"/>
    <s v="-"/>
    <x v="0"/>
    <x v="0"/>
    <x v="0"/>
    <x v="0"/>
    <x v="0"/>
    <x v="0"/>
    <x v="0"/>
    <x v="1"/>
    <x v="0"/>
    <x v="0"/>
    <x v="0"/>
    <x v="0"/>
    <x v="1"/>
    <x v="0"/>
    <x v="1"/>
    <x v="0"/>
  </r>
  <r>
    <s v="Keys to Power"/>
    <n v="1"/>
    <n v="1"/>
    <x v="1"/>
    <x v="4"/>
    <s v="-"/>
    <s v="If 2 Inf with Emperor: +2 Spice"/>
    <x v="0"/>
    <s v="-"/>
    <n v="2"/>
    <s v="0"/>
    <x v="0"/>
    <s v="-"/>
    <s v="-"/>
    <x v="0"/>
    <x v="0"/>
    <x v="0"/>
    <x v="0"/>
    <x v="1"/>
    <x v="0"/>
    <x v="0"/>
    <x v="0"/>
    <x v="1"/>
    <x v="1"/>
    <x v="0"/>
    <x v="0"/>
    <x v="1"/>
    <x v="1"/>
    <x v="0"/>
    <x v="0"/>
  </r>
  <r>
    <s v="Stillsuit Manufacturer"/>
    <n v="1"/>
    <n v="1"/>
    <x v="1"/>
    <x v="4"/>
    <s v="-"/>
    <s v="+1 Water, Fremen Alliance: Return this from play to hand"/>
    <x v="0"/>
    <s v="-"/>
    <n v="1"/>
    <s v="0"/>
    <x v="7"/>
    <s v="-"/>
    <s v="-"/>
    <x v="0"/>
    <x v="0"/>
    <x v="0"/>
    <x v="0"/>
    <x v="0"/>
    <x v="1"/>
    <x v="0"/>
    <x v="0"/>
    <x v="0"/>
    <x v="0"/>
    <x v="1"/>
    <x v="0"/>
    <x v="0"/>
    <x v="0"/>
    <x v="0"/>
    <x v="1"/>
  </r>
  <r>
    <s v="Imperium Ceremony"/>
    <n v="1"/>
    <n v="1"/>
    <x v="1"/>
    <x v="5"/>
    <s v="-"/>
    <s v="Look at top 2 Intrigues, keep one, other back on top"/>
    <x v="0"/>
    <s v="-"/>
    <n v="3"/>
    <s v="0"/>
    <x v="0"/>
    <s v="-"/>
    <s v="-"/>
    <x v="0"/>
    <x v="0"/>
    <x v="0"/>
    <x v="0"/>
    <x v="1"/>
    <x v="0"/>
    <x v="0"/>
    <x v="1"/>
    <x v="1"/>
    <x v="0"/>
    <x v="0"/>
    <x v="0"/>
    <x v="0"/>
    <x v="1"/>
    <x v="1"/>
    <x v="0"/>
  </r>
  <r>
    <s v="Long Reach"/>
    <n v="1"/>
    <n v="1"/>
    <x v="1"/>
    <x v="5"/>
    <s v="-"/>
    <s v="+1 Inf with 2 factions"/>
    <x v="6"/>
    <s v="+1 Intrigue Card"/>
    <n v="1"/>
    <s v="0"/>
    <x v="0"/>
    <s v="-"/>
    <s v="-"/>
    <x v="0"/>
    <x v="0"/>
    <x v="0"/>
    <x v="0"/>
    <x v="2"/>
    <x v="2"/>
    <x v="2"/>
    <x v="0"/>
    <x v="0"/>
    <x v="0"/>
    <x v="0"/>
    <x v="0"/>
    <x v="1"/>
    <x v="0"/>
    <x v="0"/>
    <x v="0"/>
  </r>
  <r>
    <s v="For Humanity"/>
    <n v="1"/>
    <n v="1"/>
    <x v="1"/>
    <x v="6"/>
    <s v="-"/>
    <s v="+1 Influence"/>
    <x v="0"/>
    <s v="Bene Gesserit Alliance: -2 Inf --&gt; +1 VP"/>
    <n v="2"/>
    <s v="0"/>
    <x v="0"/>
    <s v="-"/>
    <s v="-"/>
    <x v="0"/>
    <x v="0"/>
    <x v="0"/>
    <x v="0"/>
    <x v="1"/>
    <x v="0"/>
    <x v="1"/>
    <x v="0"/>
    <x v="0"/>
    <x v="1"/>
    <x v="0"/>
    <x v="0"/>
    <x v="1"/>
    <x v="0"/>
    <x v="0"/>
    <x v="0"/>
  </r>
  <r>
    <s v="Occupation"/>
    <n v="1"/>
    <n v="1"/>
    <x v="1"/>
    <x v="7"/>
    <s v="+3 Troop"/>
    <s v="1x draw, this space becomes combat space"/>
    <x v="0"/>
    <s v="+1 Water, +1 Spice, +1 Troop"/>
    <n v="0"/>
    <s v="0"/>
    <x v="0"/>
    <s v="-"/>
    <s v="-"/>
    <x v="0"/>
    <x v="0"/>
    <x v="0"/>
    <x v="0"/>
    <x v="0"/>
    <x v="1"/>
    <x v="1"/>
    <x v="1"/>
    <x v="1"/>
    <x v="1"/>
    <x v="1"/>
    <x v="0"/>
    <x v="0"/>
    <x v="1"/>
    <x v="0"/>
    <x v="0"/>
  </r>
  <r>
    <s v="Bounty Hunter "/>
    <n v="1"/>
    <n v="1"/>
    <x v="2"/>
    <x v="0"/>
    <s v="-"/>
    <s v="If used to send an Agent to a board space with an enemy Agent: +2 Solari"/>
    <x v="0"/>
    <s v="-"/>
    <n v="1"/>
    <n v="1"/>
    <x v="0"/>
    <s v="-"/>
    <s v="-"/>
    <x v="0"/>
    <x v="0"/>
    <x v="0"/>
    <x v="1"/>
    <x v="0"/>
    <x v="1"/>
    <x v="0"/>
    <x v="0"/>
    <x v="0"/>
    <x v="0"/>
    <x v="0"/>
    <x v="0"/>
    <x v="0"/>
    <x v="0"/>
    <x v="0"/>
    <x v="0"/>
  </r>
  <r>
    <s v="Choam Delegate "/>
    <n v="1"/>
    <n v="1"/>
    <x v="2"/>
    <x v="0"/>
    <s v="-"/>
    <s v="-"/>
    <x v="0"/>
    <s v="+3 Solari"/>
    <s v="-"/>
    <s v="-"/>
    <x v="0"/>
    <s v="-"/>
    <s v="-"/>
    <x v="0"/>
    <x v="0"/>
    <x v="1"/>
    <x v="1"/>
    <x v="0"/>
    <x v="0"/>
    <x v="1"/>
    <x v="0"/>
    <x v="0"/>
    <x v="0"/>
    <x v="0"/>
    <x v="0"/>
    <x v="0"/>
    <x v="0"/>
    <x v="0"/>
    <x v="0"/>
  </r>
  <r>
    <s v="Water Peddler "/>
    <n v="1"/>
    <n v="1"/>
    <x v="2"/>
    <x v="0"/>
    <s v=" +1 Water"/>
    <s v="-"/>
    <x v="0"/>
    <s v="+1 Water"/>
    <s v="-"/>
    <s v="-"/>
    <x v="0"/>
    <s v="-"/>
    <s v="-"/>
    <x v="0"/>
    <x v="0"/>
    <x v="1"/>
    <x v="0"/>
    <x v="0"/>
    <x v="0"/>
    <x v="0"/>
    <x v="0"/>
    <x v="0"/>
    <x v="0"/>
    <x v="0"/>
    <x v="0"/>
    <x v="0"/>
    <x v="0"/>
    <x v="0"/>
    <x v="0"/>
  </r>
  <r>
    <s v="Court Intrigue "/>
    <n v="1"/>
    <n v="1"/>
    <x v="2"/>
    <x v="1"/>
    <s v="-"/>
    <s v="Put one of your Intrigue cards on the bottom of the Intrigue deck --&gt; Draw 1 Intrigue card"/>
    <x v="0"/>
    <s v="-"/>
    <n v="1"/>
    <n v="1"/>
    <x v="0"/>
    <s v="-"/>
    <s v="-"/>
    <x v="0"/>
    <x v="0"/>
    <x v="0"/>
    <x v="1"/>
    <x v="0"/>
    <x v="0"/>
    <x v="0"/>
    <x v="1"/>
    <x v="0"/>
    <x v="0"/>
    <x v="0"/>
    <x v="0"/>
    <x v="0"/>
    <x v="0"/>
    <x v="1"/>
    <x v="0"/>
  </r>
  <r>
    <s v="In the Shadows "/>
    <n v="2"/>
    <n v="2"/>
    <x v="2"/>
    <x v="1"/>
    <s v="-"/>
    <s v="With 2 Bene Infl.: Discard a card --&gt; +1 Infl. with: Emperor OR Spacing Guild OR Fremen"/>
    <x v="0"/>
    <s v="+1 Bene Gesserit Influence"/>
    <s v="-"/>
    <s v="-"/>
    <x v="0"/>
    <s v="-"/>
    <s v="-"/>
    <x v="0"/>
    <x v="0"/>
    <x v="1"/>
    <x v="0"/>
    <x v="1"/>
    <x v="1"/>
    <x v="0"/>
    <x v="0"/>
    <x v="0"/>
    <x v="0"/>
    <x v="0"/>
    <x v="0"/>
    <x v="1"/>
    <x v="0"/>
    <x v="0"/>
    <x v="0"/>
  </r>
  <r>
    <s v="Jamis "/>
    <n v="1"/>
    <n v="1"/>
    <x v="2"/>
    <x v="1"/>
    <s v="-"/>
    <s v="Trash a card"/>
    <x v="0"/>
    <s v="-"/>
    <n v="1"/>
    <n v="2"/>
    <x v="0"/>
    <s v="-"/>
    <s v="-"/>
    <x v="0"/>
    <x v="0"/>
    <x v="0"/>
    <x v="1"/>
    <x v="0"/>
    <x v="0"/>
    <x v="0"/>
    <x v="0"/>
    <x v="0"/>
    <x v="0"/>
    <x v="1"/>
    <x v="0"/>
    <x v="0"/>
    <x v="0"/>
    <x v="0"/>
    <x v="1"/>
  </r>
  <r>
    <s v="Desert Ambush "/>
    <n v="1"/>
    <n v="1"/>
    <x v="2"/>
    <x v="2"/>
    <s v="-"/>
    <s v="For each troop you deploy this turn, you may force an enemy unit to retreat."/>
    <x v="0"/>
    <s v="-"/>
    <n v="1"/>
    <n v="1"/>
    <x v="0"/>
    <s v="-"/>
    <s v="Yes"/>
    <x v="0"/>
    <x v="0"/>
    <x v="0"/>
    <x v="0"/>
    <x v="0"/>
    <x v="0"/>
    <x v="1"/>
    <x v="0"/>
    <x v="0"/>
    <x v="0"/>
    <x v="0"/>
    <x v="0"/>
    <x v="0"/>
    <x v="0"/>
    <x v="0"/>
    <x v="1"/>
  </r>
  <r>
    <s v="Imperial Shock Trooper "/>
    <n v="1"/>
    <n v="1"/>
    <x v="2"/>
    <x v="2"/>
    <s v="-"/>
    <s v="-"/>
    <x v="0"/>
    <s v="If you have an Agent on an Emperor board space: +3 Swords"/>
    <n v="1"/>
    <n v="2"/>
    <x v="0"/>
    <s v="-"/>
    <s v="-"/>
    <x v="0"/>
    <x v="0"/>
    <x v="0"/>
    <x v="0"/>
    <x v="0"/>
    <x v="0"/>
    <x v="0"/>
    <x v="0"/>
    <x v="0"/>
    <x v="0"/>
    <x v="0"/>
    <x v="0"/>
    <x v="0"/>
    <x v="0"/>
    <x v="1"/>
    <x v="0"/>
  </r>
  <r>
    <s v="Local Fence "/>
    <n v="1"/>
    <n v="1"/>
    <x v="2"/>
    <x v="2"/>
    <s v="-"/>
    <s v="Pay 2 Spice --&gt; Gain +5 Solari OR Pay 5 Solari --&gt; Gain +4 Spice"/>
    <x v="0"/>
    <s v="-"/>
    <n v="2"/>
    <s v="-"/>
    <x v="0"/>
    <s v="-"/>
    <s v="-"/>
    <x v="0"/>
    <x v="0"/>
    <x v="0"/>
    <x v="0"/>
    <x v="0"/>
    <x v="1"/>
    <x v="0"/>
    <x v="0"/>
    <x v="0"/>
    <x v="0"/>
    <x v="0"/>
    <x v="0"/>
    <x v="0"/>
    <x v="0"/>
    <x v="0"/>
    <x v="0"/>
  </r>
  <r>
    <s v="Sayyadina "/>
    <n v="1"/>
    <n v="1"/>
    <x v="2"/>
    <x v="2"/>
    <s v="-"/>
    <s v="Pay 3 Water --&gt; +1 Victory Point"/>
    <x v="0"/>
    <s v="-"/>
    <s v="-"/>
    <s v="-"/>
    <x v="8"/>
    <s v="-"/>
    <s v="-"/>
    <x v="0"/>
    <x v="0"/>
    <x v="0"/>
    <x v="0"/>
    <x v="0"/>
    <x v="0"/>
    <x v="0"/>
    <x v="0"/>
    <x v="0"/>
    <x v="1"/>
    <x v="1"/>
    <x v="0"/>
    <x v="1"/>
    <x v="0"/>
    <x v="0"/>
    <x v="1"/>
  </r>
  <r>
    <s v="Truthsayer "/>
    <n v="2"/>
    <n v="2"/>
    <x v="2"/>
    <x v="2"/>
    <s v="-"/>
    <s v="Discard a card --&gt; Draw a card"/>
    <x v="0"/>
    <s v="-"/>
    <n v="1"/>
    <n v="1"/>
    <x v="0"/>
    <s v="-"/>
    <s v="-"/>
    <x v="0"/>
    <x v="0"/>
    <x v="0"/>
    <x v="0"/>
    <x v="1"/>
    <x v="0"/>
    <x v="0"/>
    <x v="1"/>
    <x v="0"/>
    <x v="1"/>
    <x v="0"/>
    <x v="0"/>
    <x v="1"/>
    <x v="0"/>
    <x v="1"/>
    <x v="0"/>
  </r>
  <r>
    <s v="Weirding Way "/>
    <n v="1"/>
    <n v="1"/>
    <x v="2"/>
    <x v="2"/>
    <s v="-"/>
    <s v="You may take another turn immediately after this one."/>
    <x v="0"/>
    <s v="-"/>
    <n v="1"/>
    <n v="2"/>
    <x v="0"/>
    <s v="-"/>
    <s v="Yes"/>
    <x v="0"/>
    <x v="0"/>
    <x v="0"/>
    <x v="0"/>
    <x v="0"/>
    <x v="1"/>
    <x v="1"/>
    <x v="0"/>
    <x v="0"/>
    <x v="0"/>
    <x v="0"/>
    <x v="0"/>
    <x v="1"/>
    <x v="0"/>
    <x v="0"/>
    <x v="0"/>
  </r>
  <r>
    <s v="Imperial Bashar "/>
    <n v="1"/>
    <n v="1"/>
    <x v="2"/>
    <x v="3"/>
    <s v="-"/>
    <s v="+1 Troop OR Trash a card"/>
    <x v="0"/>
    <s v="+1  Sword for each other revealed card that provides one or more + Sword this turn."/>
    <n v="1"/>
    <n v="2"/>
    <x v="0"/>
    <s v="-"/>
    <s v="-"/>
    <x v="0"/>
    <x v="0"/>
    <x v="0"/>
    <x v="0"/>
    <x v="0"/>
    <x v="1"/>
    <x v="0"/>
    <x v="0"/>
    <x v="0"/>
    <x v="0"/>
    <x v="0"/>
    <x v="0"/>
    <x v="0"/>
    <x v="0"/>
    <x v="1"/>
    <x v="0"/>
  </r>
  <r>
    <s v="Freighter Fleet "/>
    <n v="2"/>
    <n v="2"/>
    <x v="2"/>
    <x v="1"/>
    <s v="-"/>
    <s v="-"/>
    <x v="0"/>
    <s v="+1 Freighter"/>
    <s v="-"/>
    <s v="-"/>
    <x v="0"/>
    <s v="-"/>
    <s v="-"/>
    <x v="2"/>
    <x v="0"/>
    <x v="1"/>
    <x v="0"/>
    <x v="0"/>
    <x v="0"/>
    <x v="1"/>
    <x v="0"/>
    <x v="0"/>
    <x v="0"/>
    <x v="0"/>
    <x v="0"/>
    <x v="0"/>
    <x v="0"/>
    <x v="0"/>
    <x v="0"/>
  </r>
  <r>
    <s v="Negotiated Withdrawal "/>
    <n v="2"/>
    <n v="2"/>
    <x v="2"/>
    <x v="3"/>
    <s v=" +1 Troop"/>
    <s v="-"/>
    <x v="0"/>
    <s v="Retreat 3 of your Units --&gt; +1 Influence"/>
    <n v="2"/>
    <s v="-"/>
    <x v="0"/>
    <s v="-"/>
    <s v="-"/>
    <x v="0"/>
    <x v="0"/>
    <x v="0"/>
    <x v="0"/>
    <x v="1"/>
    <x v="1"/>
    <x v="1"/>
    <x v="0"/>
    <x v="0"/>
    <x v="0"/>
    <x v="0"/>
    <x v="0"/>
    <x v="0"/>
    <x v="0"/>
    <x v="0"/>
    <x v="0"/>
  </r>
  <r>
    <s v="Spice Trader "/>
    <n v="1"/>
    <n v="1"/>
    <x v="2"/>
    <x v="3"/>
    <s v="-"/>
    <s v="With 2 Fremen Influence: Discard a card --&gt; +2 Spice"/>
    <x v="0"/>
    <s v="-"/>
    <n v="2"/>
    <n v="1"/>
    <x v="0"/>
    <s v="-"/>
    <s v="-"/>
    <x v="0"/>
    <x v="0"/>
    <x v="0"/>
    <x v="0"/>
    <x v="0"/>
    <x v="1"/>
    <x v="1"/>
    <x v="0"/>
    <x v="0"/>
    <x v="0"/>
    <x v="0"/>
    <x v="0"/>
    <x v="0"/>
    <x v="0"/>
    <x v="0"/>
    <x v="1"/>
  </r>
  <r>
    <s v="Web of Power "/>
    <n v="1"/>
    <n v="1"/>
    <x v="2"/>
    <x v="3"/>
    <s v="-"/>
    <s v="With 2 Emperor Infl.: +2 Solari and With 2 Guild Infl.: Draw a card and With 2 Fremen Infl.: +1 Water."/>
    <x v="0"/>
    <s v="+1 Influence"/>
    <n v="1"/>
    <s v="-"/>
    <x v="0"/>
    <s v="-"/>
    <s v="-"/>
    <x v="0"/>
    <x v="0"/>
    <x v="0"/>
    <x v="1"/>
    <x v="0"/>
    <x v="0"/>
    <x v="0"/>
    <x v="0"/>
    <x v="0"/>
    <x v="1"/>
    <x v="0"/>
    <x v="0"/>
    <x v="1"/>
    <x v="0"/>
    <x v="0"/>
    <x v="0"/>
  </r>
  <r>
    <s v="Ix-Guild Compact "/>
    <n v="1"/>
    <n v="1"/>
    <x v="2"/>
    <x v="2"/>
    <s v="-"/>
    <s v="Discard 2 cards --&gt; +1 Dreadnought"/>
    <x v="0"/>
    <s v="+2 Tech Negotiation"/>
    <s v="-"/>
    <s v="-"/>
    <x v="0"/>
    <s v="-"/>
    <s v="-"/>
    <x v="2"/>
    <x v="0"/>
    <x v="1"/>
    <x v="0"/>
    <x v="0"/>
    <x v="0"/>
    <x v="0"/>
    <x v="0"/>
    <x v="1"/>
    <x v="0"/>
    <x v="0"/>
    <x v="0"/>
    <x v="0"/>
    <x v="1"/>
    <x v="0"/>
    <x v="0"/>
  </r>
  <r>
    <s v="Guild Chief Administrator "/>
    <n v="1"/>
    <n v="1"/>
    <x v="2"/>
    <x v="3"/>
    <s v="-"/>
    <s v="Discard a card --&gt; Trash a card"/>
    <x v="0"/>
    <s v="+1 Freighter"/>
    <n v="1"/>
    <s v="-"/>
    <x v="0"/>
    <s v="-"/>
    <s v="-"/>
    <x v="2"/>
    <x v="0"/>
    <x v="0"/>
    <x v="0"/>
    <x v="0"/>
    <x v="1"/>
    <x v="1"/>
    <x v="0"/>
    <x v="1"/>
    <x v="0"/>
    <x v="0"/>
    <x v="0"/>
    <x v="0"/>
    <x v="1"/>
    <x v="0"/>
    <x v="0"/>
  </r>
  <r>
    <s v="Landing Rights "/>
    <n v="1"/>
    <n v="1"/>
    <x v="2"/>
    <x v="3"/>
    <s v="-"/>
    <s v="+1 Freighter"/>
    <x v="0"/>
    <s v="-"/>
    <n v="2"/>
    <s v="-"/>
    <x v="0"/>
    <s v="-"/>
    <s v="-"/>
    <x v="2"/>
    <x v="0"/>
    <x v="0"/>
    <x v="0"/>
    <x v="0"/>
    <x v="1"/>
    <x v="0"/>
    <x v="0"/>
    <x v="0"/>
    <x v="0"/>
    <x v="0"/>
    <x v="0"/>
    <x v="0"/>
    <x v="1"/>
    <x v="0"/>
    <x v="0"/>
  </r>
  <r>
    <s v="Esmar Tuek "/>
    <n v="1"/>
    <n v="1"/>
    <x v="2"/>
    <x v="4"/>
    <s v="-"/>
    <s v="Pay 1 Spice --&gt; Gain +1 Bene Gesserit Influence and Draw 1 card."/>
    <x v="0"/>
    <s v="+2 Spice and +2 Solari"/>
    <s v="-"/>
    <s v="-"/>
    <x v="0"/>
    <s v="-"/>
    <s v="-"/>
    <x v="0"/>
    <x v="0"/>
    <x v="1"/>
    <x v="0"/>
    <x v="0"/>
    <x v="1"/>
    <x v="1"/>
    <x v="0"/>
    <x v="0"/>
    <x v="0"/>
    <x v="0"/>
    <x v="0"/>
    <x v="0"/>
    <x v="1"/>
    <x v="0"/>
    <x v="0"/>
  </r>
  <r>
    <s v="Appropriate "/>
    <n v="1"/>
    <n v="1"/>
    <x v="2"/>
    <x v="4"/>
    <s v=" +1 Freighter"/>
    <s v="With 2 Emperor Influence: +1 Acquire Tech May use Solari instead of Spice to pay"/>
    <x v="0"/>
    <s v="-"/>
    <n v="2"/>
    <s v="-"/>
    <x v="0"/>
    <s v="-"/>
    <s v="-"/>
    <x v="2"/>
    <x v="0"/>
    <x v="0"/>
    <x v="0"/>
    <x v="1"/>
    <x v="0"/>
    <x v="1"/>
    <x v="0"/>
    <x v="0"/>
    <x v="0"/>
    <x v="0"/>
    <x v="0"/>
    <x v="0"/>
    <x v="0"/>
    <x v="1"/>
    <x v="0"/>
  </r>
  <r>
    <s v="Satellite Ban "/>
    <n v="1"/>
    <n v="1"/>
    <x v="2"/>
    <x v="4"/>
    <s v="-"/>
    <s v="Discard a card --&gt; +1 Spice and +1 Water"/>
    <x v="0"/>
    <s v="Retreat up to 2 Troops from Conflict"/>
    <n v="1"/>
    <s v="-"/>
    <x v="0"/>
    <s v="-"/>
    <s v="-"/>
    <x v="0"/>
    <x v="0"/>
    <x v="0"/>
    <x v="0"/>
    <x v="0"/>
    <x v="0"/>
    <x v="0"/>
    <x v="0"/>
    <x v="1"/>
    <x v="0"/>
    <x v="1"/>
    <x v="0"/>
    <x v="0"/>
    <x v="1"/>
    <x v="0"/>
    <x v="1"/>
  </r>
  <r>
    <s v="Embedded Agent "/>
    <n v="1"/>
    <n v="1"/>
    <x v="2"/>
    <x v="4"/>
    <s v="-"/>
    <s v="-"/>
    <x v="7"/>
    <s v="Draw 1 Intrigue card"/>
    <n v="1"/>
    <s v="-"/>
    <x v="0"/>
    <s v="-"/>
    <s v="-"/>
    <x v="2"/>
    <x v="0"/>
    <x v="0"/>
    <x v="1"/>
    <x v="1"/>
    <x v="0"/>
    <x v="0"/>
    <x v="0"/>
    <x v="0"/>
    <x v="0"/>
    <x v="0"/>
    <x v="0"/>
    <x v="1"/>
    <x v="0"/>
    <x v="0"/>
    <x v="0"/>
  </r>
  <r>
    <s v="Ixian Engineer "/>
    <n v="2"/>
    <n v="2"/>
    <x v="2"/>
    <x v="4"/>
    <s v="-"/>
    <s v="Acquire Tech"/>
    <x v="0"/>
    <s v="If you have three or more Tech tiles: Trash this card --&gt; +1 Victory Point"/>
    <s v="-"/>
    <s v="-"/>
    <x v="0"/>
    <s v="-"/>
    <s v="-"/>
    <x v="2"/>
    <x v="0"/>
    <x v="0"/>
    <x v="0"/>
    <x v="0"/>
    <x v="0"/>
    <x v="1"/>
    <x v="0"/>
    <x v="0"/>
    <x v="0"/>
    <x v="0"/>
    <x v="0"/>
    <x v="0"/>
    <x v="0"/>
    <x v="0"/>
    <x v="0"/>
  </r>
  <r>
    <s v="Guild Accord "/>
    <n v="1"/>
    <n v="1"/>
    <x v="2"/>
    <x v="5"/>
    <s v="-"/>
    <s v="It costs 2 Spice less to send an Agent to the Heighliner board space with this card."/>
    <x v="0"/>
    <s v="+1 Water and with Spacing Guild Alliance: +3 Spice"/>
    <s v="-"/>
    <s v="-"/>
    <x v="0"/>
    <s v="-"/>
    <s v="-"/>
    <x v="0"/>
    <x v="0"/>
    <x v="1"/>
    <x v="1"/>
    <x v="0"/>
    <x v="0"/>
    <x v="0"/>
    <x v="0"/>
    <x v="1"/>
    <x v="0"/>
    <x v="0"/>
    <x v="0"/>
    <x v="0"/>
    <x v="1"/>
    <x v="0"/>
    <x v="0"/>
  </r>
  <r>
    <s v="Treachery "/>
    <n v="2"/>
    <n v="2"/>
    <x v="2"/>
    <x v="5"/>
    <s v="-"/>
    <s v="Gain 2 Influence instead of one. Trash this card."/>
    <x v="0"/>
    <s v="+2 Troops, deploy these Troops to the Conflict."/>
    <s v="-"/>
    <s v="-"/>
    <x v="0"/>
    <s v="-"/>
    <s v="-"/>
    <x v="0"/>
    <x v="0"/>
    <x v="1"/>
    <x v="0"/>
    <x v="0"/>
    <x v="0"/>
    <x v="0"/>
    <x v="1"/>
    <x v="1"/>
    <x v="1"/>
    <x v="1"/>
    <x v="0"/>
    <x v="0"/>
    <x v="0"/>
    <x v="0"/>
    <x v="0"/>
  </r>
  <r>
    <s v="Shai-Hulud "/>
    <n v="1"/>
    <n v="1"/>
    <x v="2"/>
    <x v="6"/>
    <s v=" Trash a card"/>
    <s v="Trash a card --&gt; +2 Troops"/>
    <x v="0"/>
    <s v="-"/>
    <s v="-"/>
    <s v="-"/>
    <x v="9"/>
    <s v="-"/>
    <s v="-"/>
    <x v="0"/>
    <x v="0"/>
    <x v="0"/>
    <x v="0"/>
    <x v="0"/>
    <x v="0"/>
    <x v="1"/>
    <x v="0"/>
    <x v="0"/>
    <x v="0"/>
    <x v="0"/>
    <x v="0"/>
    <x v="0"/>
    <x v="0"/>
    <x v="0"/>
    <x v="1"/>
  </r>
  <r>
    <s v="Full-Scale Assault "/>
    <n v="1"/>
    <n v="1"/>
    <x v="2"/>
    <x v="7"/>
    <s v=" +1 Dreadnought"/>
    <s v="+2 Troops"/>
    <x v="0"/>
    <s v="+3 Swords for each of your dreadnoughts in the Conflict"/>
    <n v="2"/>
    <s v="-"/>
    <x v="0"/>
    <s v="-"/>
    <s v="-"/>
    <x v="2"/>
    <x v="0"/>
    <x v="0"/>
    <x v="0"/>
    <x v="0"/>
    <x v="1"/>
    <x v="0"/>
    <x v="1"/>
    <x v="0"/>
    <x v="0"/>
    <x v="0"/>
    <x v="0"/>
    <x v="0"/>
    <x v="0"/>
    <x v="1"/>
    <x v="0"/>
  </r>
  <r>
    <s v="Jessica of Arrakis "/>
    <n v="1"/>
    <n v="1"/>
    <x v="3"/>
    <x v="2"/>
    <s v="-"/>
    <s v="-"/>
    <x v="8"/>
    <s v="-"/>
    <n v="1"/>
    <n v="2"/>
    <x v="0"/>
    <s v="-"/>
    <s v="-"/>
    <x v="0"/>
    <x v="0"/>
    <x v="0"/>
    <x v="0"/>
    <x v="0"/>
    <x v="0"/>
    <x v="1"/>
    <x v="0"/>
    <x v="0"/>
    <x v="0"/>
    <x v="0"/>
    <x v="0"/>
    <x v="1"/>
    <x v="0"/>
    <x v="0"/>
    <x v="0"/>
  </r>
  <r>
    <s v="Thumper"/>
    <n v="1"/>
    <n v="1"/>
    <x v="3"/>
    <x v="2"/>
    <s v="-"/>
    <s v="Double bonus spice harvest"/>
    <x v="0"/>
    <s v="+1 Spice"/>
    <n v="1"/>
    <s v="-"/>
    <x v="0"/>
    <s v="-"/>
    <s v="-"/>
    <x v="0"/>
    <x v="0"/>
    <x v="0"/>
    <x v="0"/>
    <x v="0"/>
    <x v="0"/>
    <x v="1"/>
    <x v="0"/>
    <x v="0"/>
    <x v="0"/>
    <x v="0"/>
    <x v="0"/>
    <x v="0"/>
    <x v="0"/>
    <x v="0"/>
    <x v="1"/>
  </r>
  <r>
    <s v="The Beast's Spoils"/>
    <n v="1"/>
    <n v="1"/>
    <x v="3"/>
    <x v="2"/>
    <s v="-"/>
    <s v="Gain reqards for your face-up battle icons. Dagger: Trash a card. Mouse: +1 Spice. Ornithopter: +1 Troop"/>
    <x v="0"/>
    <s v="-"/>
    <n v="0"/>
    <n v="3"/>
    <x v="0"/>
    <s v="-"/>
    <s v="-"/>
    <x v="3"/>
    <x v="0"/>
    <x v="0"/>
    <x v="0"/>
    <x v="0"/>
    <x v="1"/>
    <x v="0"/>
    <x v="0"/>
    <x v="0"/>
    <x v="0"/>
    <x v="0"/>
    <x v="0"/>
    <x v="0"/>
    <x v="0"/>
    <x v="1"/>
    <x v="0"/>
  </r>
  <r>
    <s v="Boundless Ambition "/>
    <n v="1"/>
    <n v="1"/>
    <x v="3"/>
    <x v="4"/>
    <s v="-"/>
    <s v="Signet Ring"/>
    <x v="0"/>
    <s v="Acquire a card that costs 5 Persuation or less."/>
    <s v="-"/>
    <s v="-"/>
    <x v="0"/>
    <s v="-"/>
    <s v="-"/>
    <x v="0"/>
    <x v="0"/>
    <x v="1"/>
    <x v="0"/>
    <x v="0"/>
    <x v="0"/>
    <x v="0"/>
    <x v="1"/>
    <x v="1"/>
    <x v="1"/>
    <x v="1"/>
    <x v="0"/>
    <x v="0"/>
    <x v="0"/>
    <x v="0"/>
    <x v="0"/>
  </r>
  <r>
    <s v="Duncan, Loyal Blade "/>
    <n v="1"/>
    <n v="1"/>
    <x v="3"/>
    <x v="4"/>
    <s v="-"/>
    <s v="+1 Troop"/>
    <x v="0"/>
    <s v="When Trashed you may Deploy/Retreat any number of Troops From/To your Garrison."/>
    <n v="1"/>
    <n v="2"/>
    <x v="0"/>
    <s v="-"/>
    <s v="-"/>
    <x v="0"/>
    <x v="0"/>
    <x v="0"/>
    <x v="0"/>
    <x v="0"/>
    <x v="1"/>
    <x v="0"/>
    <x v="0"/>
    <x v="0"/>
    <x v="0"/>
    <x v="1"/>
    <x v="0"/>
    <x v="0"/>
    <x v="0"/>
    <x v="0"/>
    <x v="0"/>
  </r>
  <r>
    <s v="Arrakis Revolt"/>
    <n v="1"/>
    <n v="1"/>
    <x v="3"/>
    <x v="5"/>
    <s v="+1 Troop"/>
    <s v="Maker Hook: Pay 2 Spice --&gt; Detonate shield wall, +1 Sandworm"/>
    <x v="0"/>
    <s v="-"/>
    <n v="1"/>
    <n v="3"/>
    <x v="0"/>
    <s v="-"/>
    <s v="-"/>
    <x v="0"/>
    <x v="0"/>
    <x v="0"/>
    <x v="0"/>
    <x v="0"/>
    <x v="1"/>
    <x v="0"/>
    <x v="0"/>
    <x v="0"/>
    <x v="0"/>
    <x v="0"/>
    <x v="0"/>
    <x v="0"/>
    <x v="0"/>
    <x v="0"/>
    <x v="1"/>
  </r>
  <r>
    <s v="Cargo Runner"/>
    <n v="1"/>
    <n v="1"/>
    <x v="4"/>
    <x v="2"/>
    <s v="-"/>
    <s v="If you have competed 2 or more contracts: Draw a card. If you have completed 4 or more contracts: Draw a card"/>
    <x v="0"/>
    <s v="-"/>
    <n v="1"/>
    <s v="-"/>
    <x v="0"/>
    <s v="-"/>
    <s v="-"/>
    <x v="3"/>
    <x v="0"/>
    <x v="0"/>
    <x v="0"/>
    <x v="1"/>
    <x v="1"/>
    <x v="1"/>
    <x v="0"/>
    <x v="0"/>
    <x v="0"/>
    <x v="0"/>
    <x v="0"/>
    <x v="0"/>
    <x v="1"/>
    <x v="0"/>
    <x v="0"/>
  </r>
  <r>
    <s v="Delivery Agreement"/>
    <n v="1"/>
    <n v="1"/>
    <x v="4"/>
    <x v="4"/>
    <s v="-"/>
    <s v="Discard a card: +1 Contract"/>
    <x v="0"/>
    <s v="+1 Spice or If you have completed 4 or more contracts, Trash this card --&gt; +1 Victory Point"/>
    <s v="-"/>
    <s v="-"/>
    <x v="0"/>
    <s v="-"/>
    <s v="-"/>
    <x v="3"/>
    <x v="0"/>
    <x v="0"/>
    <x v="0"/>
    <x v="0"/>
    <x v="1"/>
    <x v="0"/>
    <x v="0"/>
    <x v="0"/>
    <x v="0"/>
    <x v="0"/>
    <x v="0"/>
    <x v="0"/>
    <x v="1"/>
    <x v="0"/>
    <x v="0"/>
  </r>
  <r>
    <s v="Priority Contracts"/>
    <n v="1"/>
    <n v="1"/>
    <x v="4"/>
    <x v="5"/>
    <s v="-"/>
    <s v="+1 Contract"/>
    <x v="0"/>
    <s v="+2 Spice or If you have 4 or more completed contracts, Trash this card --&gt; +1 Victory Point"/>
    <s v="-"/>
    <s v="-"/>
    <x v="0"/>
    <s v="-"/>
    <s v="-"/>
    <x v="3"/>
    <x v="0"/>
    <x v="0"/>
    <x v="0"/>
    <x v="1"/>
    <x v="0"/>
    <x v="1"/>
    <x v="0"/>
    <x v="0"/>
    <x v="0"/>
    <x v="0"/>
    <x v="0"/>
    <x v="0"/>
    <x v="1"/>
    <x v="0"/>
    <x v="0"/>
  </r>
  <r>
    <s v="Interstellar Trade"/>
    <n v="1"/>
    <n v="1"/>
    <x v="4"/>
    <x v="6"/>
    <s v="+1 Contract"/>
    <s v="+1 Influence"/>
    <x v="0"/>
    <s v="+1 Persuasion for each contract you have completed"/>
    <s v="-"/>
    <s v="-"/>
    <x v="0"/>
    <s v="-"/>
    <s v="-"/>
    <x v="3"/>
    <x v="0"/>
    <x v="0"/>
    <x v="0"/>
    <x v="1"/>
    <x v="1"/>
    <x v="1"/>
    <x v="0"/>
    <x v="0"/>
    <x v="0"/>
    <x v="0"/>
    <x v="0"/>
    <x v="0"/>
    <x v="1"/>
    <x v="0"/>
    <x v="0"/>
  </r>
  <r>
    <s v="Sardaukar Soldier"/>
    <n v="1"/>
    <n v="1"/>
    <x v="5"/>
    <x v="0"/>
    <s v="-"/>
    <s v="-"/>
    <x v="0"/>
    <s v="-"/>
    <n v="1"/>
    <n v="1"/>
    <x v="0"/>
    <s v="When trashed, Intrigue card"/>
    <s v="-"/>
    <x v="0"/>
    <x v="0"/>
    <x v="0"/>
    <x v="0"/>
    <x v="0"/>
    <x v="1"/>
    <x v="0"/>
    <x v="0"/>
    <x v="0"/>
    <x v="0"/>
    <x v="0"/>
    <x v="0"/>
    <x v="0"/>
    <x v="0"/>
    <x v="1"/>
    <x v="0"/>
  </r>
  <r>
    <s v="Smuggler's Harvester"/>
    <n v="2"/>
    <n v="2"/>
    <x v="5"/>
    <x v="0"/>
    <s v="-"/>
    <s v="If you sent an agent to a Maker board space this turn: +1 Spice"/>
    <x v="0"/>
    <s v="-"/>
    <n v="1"/>
    <s v="-"/>
    <x v="0"/>
    <s v="-"/>
    <s v="-"/>
    <x v="0"/>
    <x v="0"/>
    <x v="0"/>
    <x v="0"/>
    <x v="0"/>
    <x v="0"/>
    <x v="1"/>
    <x v="0"/>
    <x v="0"/>
    <x v="0"/>
    <x v="0"/>
    <x v="0"/>
    <x v="0"/>
    <x v="1"/>
    <x v="0"/>
    <x v="0"/>
  </r>
  <r>
    <s v="Space-time Folding"/>
    <n v="1"/>
    <n v="1"/>
    <x v="5"/>
    <x v="0"/>
    <s v="-"/>
    <s v="Discard a card to draw a card. If you discarded a Spacing Guild card, Draw another card"/>
    <x v="0"/>
    <s v="-"/>
    <n v="1"/>
    <s v="-"/>
    <x v="0"/>
    <s v="-"/>
    <s v="-"/>
    <x v="0"/>
    <x v="0"/>
    <x v="0"/>
    <x v="0"/>
    <x v="0"/>
    <x v="0"/>
    <x v="0"/>
    <x v="0"/>
    <x v="1"/>
    <x v="0"/>
    <x v="0"/>
    <x v="0"/>
    <x v="0"/>
    <x v="1"/>
    <x v="0"/>
    <x v="0"/>
  </r>
  <r>
    <s v="Unswerving Loyalty"/>
    <n v="2"/>
    <n v="2"/>
    <x v="5"/>
    <x v="0"/>
    <s v="-"/>
    <s v="-"/>
    <x v="0"/>
    <s v="+1 Troop"/>
    <n v="1"/>
    <s v="-"/>
    <x v="10"/>
    <s v="-"/>
    <s v="-"/>
    <x v="0"/>
    <x v="0"/>
    <x v="0"/>
    <x v="0"/>
    <x v="0"/>
    <x v="0"/>
    <x v="0"/>
    <x v="0"/>
    <x v="0"/>
    <x v="0"/>
    <x v="0"/>
    <x v="0"/>
    <x v="0"/>
    <x v="0"/>
    <x v="0"/>
    <x v="1"/>
  </r>
  <r>
    <s v="Weirding Woman"/>
    <n v="2"/>
    <n v="2"/>
    <x v="5"/>
    <x v="0"/>
    <s v="-"/>
    <s v="-"/>
    <x v="9"/>
    <s v="-"/>
    <n v="1"/>
    <n v="1"/>
    <x v="0"/>
    <s v="-"/>
    <s v="-"/>
    <x v="0"/>
    <x v="0"/>
    <x v="0"/>
    <x v="0"/>
    <x v="0"/>
    <x v="1"/>
    <x v="1"/>
    <x v="0"/>
    <x v="0"/>
    <x v="0"/>
    <x v="0"/>
    <x v="0"/>
    <x v="1"/>
    <x v="0"/>
    <x v="0"/>
    <x v="0"/>
  </r>
  <r>
    <s v="Desert Survival"/>
    <n v="2"/>
    <n v="2"/>
    <x v="5"/>
    <x v="1"/>
    <s v="-"/>
    <s v="Trash a card"/>
    <x v="0"/>
    <s v="-"/>
    <n v="1"/>
    <n v="1"/>
    <x v="0"/>
    <s v="-"/>
    <s v="-"/>
    <x v="0"/>
    <x v="0"/>
    <x v="0"/>
    <x v="0"/>
    <x v="0"/>
    <x v="0"/>
    <x v="1"/>
    <x v="0"/>
    <x v="0"/>
    <x v="0"/>
    <x v="0"/>
    <x v="0"/>
    <x v="0"/>
    <x v="0"/>
    <x v="0"/>
    <x v="1"/>
  </r>
  <r>
    <s v="Fedaykin Stilltent"/>
    <n v="1"/>
    <n v="1"/>
    <x v="5"/>
    <x v="1"/>
    <s v="-"/>
    <s v="If you sent an agent to a Maker board space this turn: +1 Troop"/>
    <x v="0"/>
    <s v="+1 Water"/>
    <s v="-"/>
    <s v="-"/>
    <x v="0"/>
    <s v="-"/>
    <s v="-"/>
    <x v="0"/>
    <x v="0"/>
    <x v="0"/>
    <x v="0"/>
    <x v="0"/>
    <x v="0"/>
    <x v="1"/>
    <x v="0"/>
    <x v="0"/>
    <x v="0"/>
    <x v="0"/>
    <x v="0"/>
    <x v="0"/>
    <x v="0"/>
    <x v="0"/>
    <x v="1"/>
  </r>
  <r>
    <s v="Hidden Missive"/>
    <n v="1"/>
    <n v="1"/>
    <x v="5"/>
    <x v="1"/>
    <s v="-"/>
    <s v="2 Bene Gesserit Influence: +1 Troop, Draw a card"/>
    <x v="0"/>
    <s v="-"/>
    <n v="1"/>
    <n v="1"/>
    <x v="0"/>
    <s v="-"/>
    <s v="-"/>
    <x v="0"/>
    <x v="0"/>
    <x v="0"/>
    <x v="0"/>
    <x v="1"/>
    <x v="0"/>
    <x v="0"/>
    <x v="0"/>
    <x v="0"/>
    <x v="0"/>
    <x v="0"/>
    <x v="0"/>
    <x v="1"/>
    <x v="0"/>
    <x v="0"/>
    <x v="0"/>
  </r>
  <r>
    <s v="Imperial Spymaster"/>
    <n v="1"/>
    <n v="1"/>
    <x v="5"/>
    <x v="1"/>
    <s v="-"/>
    <s v="If you recalled a spy this turn: +1 Intrigue Card"/>
    <x v="0"/>
    <s v="-"/>
    <s v="-"/>
    <s v="-"/>
    <x v="0"/>
    <s v="-"/>
    <s v="-"/>
    <x v="3"/>
    <x v="0"/>
    <x v="0"/>
    <x v="0"/>
    <x v="0"/>
    <x v="0"/>
    <x v="0"/>
    <x v="1"/>
    <x v="0"/>
    <x v="0"/>
    <x v="0"/>
    <x v="1"/>
    <x v="0"/>
    <x v="0"/>
    <x v="1"/>
    <x v="0"/>
  </r>
  <r>
    <s v="Maker Keeper"/>
    <n v="2"/>
    <n v="2"/>
    <x v="5"/>
    <x v="1"/>
    <s v="-"/>
    <s v="2 Bene Gesserit Influence: +1 Water. 2 Fremen Influence: +1 Spice"/>
    <x v="0"/>
    <s v="-"/>
    <n v="2"/>
    <s v="-"/>
    <x v="0"/>
    <s v="-"/>
    <s v="-"/>
    <x v="0"/>
    <x v="0"/>
    <x v="0"/>
    <x v="0"/>
    <x v="0"/>
    <x v="1"/>
    <x v="0"/>
    <x v="0"/>
    <x v="0"/>
    <x v="0"/>
    <x v="0"/>
    <x v="0"/>
    <x v="1"/>
    <x v="0"/>
    <x v="0"/>
    <x v="1"/>
  </r>
  <r>
    <s v="Reliable Informant"/>
    <n v="1"/>
    <n v="1"/>
    <x v="5"/>
    <x v="1"/>
    <s v="-"/>
    <s v="+1 Spy on Emperor, Bene Gesserit, or Fremen Space"/>
    <x v="0"/>
    <s v="+1 Solari"/>
    <n v="1"/>
    <s v="-"/>
    <x v="0"/>
    <s v="-"/>
    <s v="-"/>
    <x v="3"/>
    <x v="0"/>
    <x v="0"/>
    <x v="0"/>
    <x v="0"/>
    <x v="0"/>
    <x v="0"/>
    <x v="0"/>
    <x v="1"/>
    <x v="0"/>
    <x v="0"/>
    <x v="0"/>
    <x v="0"/>
    <x v="1"/>
    <x v="0"/>
    <x v="0"/>
  </r>
  <r>
    <s v="Spy Network"/>
    <n v="1"/>
    <n v="1"/>
    <x v="5"/>
    <x v="1"/>
    <s v="+1 Spy"/>
    <s v="-"/>
    <x v="0"/>
    <s v="If you have 2 or more Spies: Recall a spy --&gt; +1 intrigue card"/>
    <n v="2"/>
    <n v="1"/>
    <x v="0"/>
    <s v="-"/>
    <s v="-"/>
    <x v="3"/>
    <x v="0"/>
    <x v="0"/>
    <x v="0"/>
    <x v="0"/>
    <x v="0"/>
    <x v="0"/>
    <x v="0"/>
    <x v="0"/>
    <x v="0"/>
    <x v="0"/>
    <x v="0"/>
    <x v="0"/>
    <x v="1"/>
    <x v="1"/>
    <x v="0"/>
  </r>
  <r>
    <s v="Undercover Asset"/>
    <n v="1"/>
    <n v="1"/>
    <x v="5"/>
    <x v="1"/>
    <s v="-"/>
    <s v="Ignore influence requirements on board spaces when sending an Agent this turn"/>
    <x v="0"/>
    <s v="+1 Spy or +2 Swords"/>
    <s v="-"/>
    <s v="-"/>
    <x v="0"/>
    <s v="-"/>
    <s v="-"/>
    <x v="3"/>
    <x v="0"/>
    <x v="0"/>
    <x v="0"/>
    <x v="1"/>
    <x v="1"/>
    <x v="1"/>
    <x v="0"/>
    <x v="0"/>
    <x v="0"/>
    <x v="0"/>
    <x v="0"/>
    <x v="0"/>
    <x v="1"/>
    <x v="1"/>
    <x v="0"/>
  </r>
  <r>
    <s v="Wheels Within Wheels"/>
    <n v="1"/>
    <n v="1"/>
    <x v="5"/>
    <x v="1"/>
    <s v="-"/>
    <s v="2 Emperor influence: +2 Solari. 2 Spacing Guild influence: +1 Spice"/>
    <x v="0"/>
    <s v="+1 Spy"/>
    <n v="1"/>
    <s v="-"/>
    <x v="0"/>
    <s v="-"/>
    <s v="-"/>
    <x v="3"/>
    <x v="0"/>
    <x v="0"/>
    <x v="0"/>
    <x v="0"/>
    <x v="0"/>
    <x v="0"/>
    <x v="0"/>
    <x v="0"/>
    <x v="0"/>
    <x v="0"/>
    <x v="1"/>
    <x v="0"/>
    <x v="1"/>
    <x v="1"/>
    <x v="0"/>
  </r>
  <r>
    <s v="Bene Gesserit Operative"/>
    <n v="2"/>
    <n v="2"/>
    <x v="5"/>
    <x v="2"/>
    <s v="-"/>
    <s v="+1 Spy"/>
    <x v="0"/>
    <s v="If you have 2 or more Spies: +2 Persuasion"/>
    <n v="1"/>
    <s v="-"/>
    <x v="0"/>
    <s v="-"/>
    <s v="-"/>
    <x v="3"/>
    <x v="0"/>
    <x v="0"/>
    <x v="0"/>
    <x v="0"/>
    <x v="0"/>
    <x v="0"/>
    <x v="0"/>
    <x v="0"/>
    <x v="1"/>
    <x v="0"/>
    <x v="0"/>
    <x v="1"/>
    <x v="0"/>
    <x v="0"/>
    <x v="0"/>
  </r>
  <r>
    <s v="Branching Path"/>
    <n v="1"/>
    <n v="1"/>
    <x v="5"/>
    <x v="2"/>
    <s v="-"/>
    <s v="Bene Gesserit Alliance: Discard 1 Intrigue card --&gt; +1 Intrigue card, +2 Spice"/>
    <x v="0"/>
    <s v="-"/>
    <n v="2"/>
    <s v="-"/>
    <x v="0"/>
    <s v="-"/>
    <s v="-"/>
    <x v="0"/>
    <x v="0"/>
    <x v="0"/>
    <x v="0"/>
    <x v="0"/>
    <x v="1"/>
    <x v="0"/>
    <x v="0"/>
    <x v="0"/>
    <x v="1"/>
    <x v="0"/>
    <x v="0"/>
    <x v="1"/>
    <x v="0"/>
    <x v="0"/>
    <x v="0"/>
  </r>
  <r>
    <s v="Calculus of Power"/>
    <n v="2"/>
    <n v="2"/>
    <x v="5"/>
    <x v="2"/>
    <s v="-"/>
    <s v="Trash a card"/>
    <x v="0"/>
    <s v="Trash another Emperor card you have in play --&gt; +3 Swords"/>
    <n v="2"/>
    <s v="-"/>
    <x v="0"/>
    <s v="-"/>
    <s v="-"/>
    <x v="0"/>
    <x v="0"/>
    <x v="0"/>
    <x v="0"/>
    <x v="0"/>
    <x v="1"/>
    <x v="0"/>
    <x v="0"/>
    <x v="0"/>
    <x v="0"/>
    <x v="0"/>
    <x v="1"/>
    <x v="0"/>
    <x v="0"/>
    <x v="1"/>
    <x v="0"/>
  </r>
  <r>
    <s v="Covert Operation"/>
    <n v="1"/>
    <n v="1"/>
    <x v="5"/>
    <x v="2"/>
    <s v="-"/>
    <s v="Each opponent discards a card."/>
    <x v="0"/>
    <s v="+2 Spies"/>
    <s v="-"/>
    <s v="-"/>
    <x v="0"/>
    <s v="-"/>
    <s v="Yes"/>
    <x v="3"/>
    <x v="0"/>
    <x v="0"/>
    <x v="0"/>
    <x v="0"/>
    <x v="0"/>
    <x v="0"/>
    <x v="0"/>
    <x v="0"/>
    <x v="0"/>
    <x v="0"/>
    <x v="1"/>
    <x v="0"/>
    <x v="0"/>
    <x v="0"/>
    <x v="0"/>
  </r>
  <r>
    <s v="Dangerous Rhetoric"/>
    <n v="1"/>
    <n v="1"/>
    <x v="5"/>
    <x v="2"/>
    <s v="-"/>
    <s v="+1 Influence, Trash this card"/>
    <x v="0"/>
    <s v="-"/>
    <n v="1"/>
    <n v="1"/>
    <x v="0"/>
    <s v="-"/>
    <s v="-"/>
    <x v="0"/>
    <x v="0"/>
    <x v="0"/>
    <x v="0"/>
    <x v="1"/>
    <x v="0"/>
    <x v="0"/>
    <x v="0"/>
    <x v="0"/>
    <x v="0"/>
    <x v="0"/>
    <x v="1"/>
    <x v="0"/>
    <x v="0"/>
    <x v="0"/>
    <x v="0"/>
  </r>
  <r>
    <s v="Double Agent"/>
    <n v="2"/>
    <n v="2"/>
    <x v="5"/>
    <x v="2"/>
    <s v="-"/>
    <s v="+1 Spy on active agent space. Spy may infiltrate."/>
    <x v="0"/>
    <s v="-"/>
    <n v="1"/>
    <n v="1"/>
    <x v="0"/>
    <s v="-"/>
    <s v="-"/>
    <x v="3"/>
    <x v="0"/>
    <x v="0"/>
    <x v="0"/>
    <x v="1"/>
    <x v="1"/>
    <x v="1"/>
    <x v="0"/>
    <x v="0"/>
    <x v="0"/>
    <x v="0"/>
    <x v="0"/>
    <x v="0"/>
    <x v="1"/>
    <x v="1"/>
    <x v="0"/>
  </r>
  <r>
    <s v="Ecological Testing Station"/>
    <n v="1"/>
    <n v="1"/>
    <x v="5"/>
    <x v="2"/>
    <s v="-"/>
    <s v="Pay 2 Water --&gt; Draw 2 cards"/>
    <x v="0"/>
    <s v="-"/>
    <n v="1"/>
    <s v="-"/>
    <x v="11"/>
    <s v="-"/>
    <s v="-"/>
    <x v="0"/>
    <x v="0"/>
    <x v="0"/>
    <x v="0"/>
    <x v="0"/>
    <x v="1"/>
    <x v="0"/>
    <x v="0"/>
    <x v="0"/>
    <x v="0"/>
    <x v="0"/>
    <x v="0"/>
    <x v="0"/>
    <x v="0"/>
    <x v="0"/>
    <x v="1"/>
  </r>
  <r>
    <s v="Guild Envoy"/>
    <n v="1"/>
    <n v="1"/>
    <x v="5"/>
    <x v="2"/>
    <s v="-"/>
    <s v="Discard a card (Mandatory). If the discarded card is Spacing Guild, Draw 2 cards"/>
    <x v="0"/>
    <s v="-"/>
    <n v="1"/>
    <s v="-"/>
    <x v="0"/>
    <s v="-"/>
    <s v="-"/>
    <x v="0"/>
    <x v="0"/>
    <x v="0"/>
    <x v="0"/>
    <x v="0"/>
    <x v="0"/>
    <x v="0"/>
    <x v="1"/>
    <x v="1"/>
    <x v="1"/>
    <x v="1"/>
    <x v="0"/>
    <x v="0"/>
    <x v="1"/>
    <x v="0"/>
    <x v="0"/>
  </r>
  <r>
    <s v="Guild Spy"/>
    <n v="1"/>
    <n v="1"/>
    <x v="5"/>
    <x v="2"/>
    <s v="+1 Spy"/>
    <s v="Discard a card --&gt; Draw a card.  If the discarded card is Spacing Guild, +1 Intrigue card"/>
    <x v="0"/>
    <s v="If you acquire The Spice Must Flow, +1 Influence with each faction you are spying on"/>
    <n v="2"/>
    <s v="-"/>
    <x v="0"/>
    <s v="-"/>
    <s v="-"/>
    <x v="3"/>
    <x v="0"/>
    <x v="0"/>
    <x v="0"/>
    <x v="0"/>
    <x v="0"/>
    <x v="0"/>
    <x v="0"/>
    <x v="0"/>
    <x v="0"/>
    <x v="0"/>
    <x v="1"/>
    <x v="0"/>
    <x v="1"/>
    <x v="0"/>
    <x v="0"/>
  </r>
  <r>
    <s v="Maula Pistol"/>
    <n v="2"/>
    <n v="2"/>
    <x v="5"/>
    <x v="2"/>
    <s v="-"/>
    <s v="Draw a card"/>
    <x v="0"/>
    <s v="-"/>
    <n v="1"/>
    <n v="1"/>
    <x v="0"/>
    <s v="-"/>
    <s v="-"/>
    <x v="0"/>
    <x v="0"/>
    <x v="0"/>
    <x v="0"/>
    <x v="0"/>
    <x v="1"/>
    <x v="1"/>
    <x v="0"/>
    <x v="0"/>
    <x v="0"/>
    <x v="0"/>
    <x v="0"/>
    <x v="0"/>
    <x v="0"/>
    <x v="0"/>
    <x v="1"/>
  </r>
  <r>
    <s v="Northern Watermaster"/>
    <n v="1"/>
    <n v="1"/>
    <x v="5"/>
    <x v="2"/>
    <s v="-"/>
    <s v="+1 Water"/>
    <x v="0"/>
    <s v="-"/>
    <n v="1"/>
    <s v="-"/>
    <x v="7"/>
    <s v="-"/>
    <s v="-"/>
    <x v="0"/>
    <x v="0"/>
    <x v="0"/>
    <x v="0"/>
    <x v="0"/>
    <x v="1"/>
    <x v="0"/>
    <x v="0"/>
    <x v="0"/>
    <x v="0"/>
    <x v="0"/>
    <x v="0"/>
    <x v="0"/>
    <x v="0"/>
    <x v="0"/>
    <x v="1"/>
  </r>
  <r>
    <s v="Rebel Supplier"/>
    <n v="2"/>
    <n v="2"/>
    <x v="5"/>
    <x v="2"/>
    <s v="-"/>
    <s v="If you recalled a spy this turn: +2 Troops"/>
    <x v="0"/>
    <s v="+1 Spice"/>
    <s v="-"/>
    <n v="1"/>
    <x v="0"/>
    <s v="-"/>
    <s v="-"/>
    <x v="3"/>
    <x v="0"/>
    <x v="0"/>
    <x v="0"/>
    <x v="0"/>
    <x v="1"/>
    <x v="0"/>
    <x v="0"/>
    <x v="0"/>
    <x v="0"/>
    <x v="0"/>
    <x v="0"/>
    <x v="0"/>
    <x v="0"/>
    <x v="0"/>
    <x v="1"/>
  </r>
  <r>
    <s v="Paracompass"/>
    <n v="1"/>
    <n v="1"/>
    <x v="5"/>
    <x v="3"/>
    <s v="-"/>
    <s v="+2 Solari"/>
    <x v="0"/>
    <s v="High Council Seat: +2 Persuasion Also have a Swordmaster: +1 Persuasion"/>
    <s v="-"/>
    <s v="-"/>
    <x v="0"/>
    <s v="-"/>
    <s v="-"/>
    <x v="0"/>
    <x v="0"/>
    <x v="0"/>
    <x v="0"/>
    <x v="0"/>
    <x v="1"/>
    <x v="0"/>
    <x v="0"/>
    <x v="0"/>
    <x v="0"/>
    <x v="0"/>
    <x v="0"/>
    <x v="0"/>
    <x v="0"/>
    <x v="0"/>
    <x v="0"/>
  </r>
  <r>
    <s v="Public Spectacle"/>
    <n v="2"/>
    <n v="2"/>
    <x v="5"/>
    <x v="3"/>
    <s v="-"/>
    <s v="If you recalled a spy this turn: +1 Influence"/>
    <x v="0"/>
    <s v="+1 Spy"/>
    <n v="1"/>
    <s v="-"/>
    <x v="0"/>
    <s v="-"/>
    <s v="-"/>
    <x v="3"/>
    <x v="0"/>
    <x v="0"/>
    <x v="0"/>
    <x v="0"/>
    <x v="0"/>
    <x v="0"/>
    <x v="0"/>
    <x v="0"/>
    <x v="0"/>
    <x v="0"/>
    <x v="1"/>
    <x v="0"/>
    <x v="0"/>
    <x v="1"/>
    <x v="0"/>
  </r>
  <r>
    <s v="Sardaukar Coordination"/>
    <n v="2"/>
    <n v="2"/>
    <x v="5"/>
    <x v="3"/>
    <s v="-"/>
    <s v="You may deploy any troops you recruit this turn to the conflict."/>
    <x v="0"/>
    <s v="+1 Sword for each Emperor card you revealed (Including this one)"/>
    <n v="2"/>
    <s v="X"/>
    <x v="0"/>
    <s v="-"/>
    <s v="-"/>
    <x v="0"/>
    <x v="0"/>
    <x v="0"/>
    <x v="0"/>
    <x v="1"/>
    <x v="0"/>
    <x v="0"/>
    <x v="1"/>
    <x v="0"/>
    <x v="0"/>
    <x v="0"/>
    <x v="0"/>
    <x v="0"/>
    <x v="0"/>
    <x v="1"/>
    <x v="0"/>
  </r>
  <r>
    <s v="Shishakli"/>
    <n v="1"/>
    <n v="1"/>
    <x v="5"/>
    <x v="3"/>
    <s v="-"/>
    <s v="Trash a card --&gt; Draw a card"/>
    <x v="0"/>
    <s v="-"/>
    <s v="-"/>
    <n v="2"/>
    <x v="2"/>
    <s v="-"/>
    <s v="-"/>
    <x v="0"/>
    <x v="0"/>
    <x v="0"/>
    <x v="0"/>
    <x v="0"/>
    <x v="1"/>
    <x v="1"/>
    <x v="0"/>
    <x v="0"/>
    <x v="0"/>
    <x v="0"/>
    <x v="0"/>
    <x v="0"/>
    <x v="0"/>
    <x v="0"/>
    <x v="1"/>
  </r>
  <r>
    <s v="Smuggler's Haven"/>
    <n v="1"/>
    <n v="1"/>
    <x v="5"/>
    <x v="3"/>
    <s v="-"/>
    <s v="Pay 4 Spice --&gt; +1 Victory Point"/>
    <x v="0"/>
    <s v="If you are spying on a Maker board space, +2 Spice"/>
    <s v="-"/>
    <s v="-"/>
    <x v="0"/>
    <s v="-"/>
    <s v="-"/>
    <x v="3"/>
    <x v="0"/>
    <x v="0"/>
    <x v="0"/>
    <x v="0"/>
    <x v="0"/>
    <x v="1"/>
    <x v="0"/>
    <x v="1"/>
    <x v="0"/>
    <x v="0"/>
    <x v="0"/>
    <x v="0"/>
    <x v="1"/>
    <x v="0"/>
    <x v="0"/>
  </r>
  <r>
    <s v="Southern Elders"/>
    <n v="1"/>
    <n v="1"/>
    <x v="5"/>
    <x v="3"/>
    <s v="-"/>
    <s v="-"/>
    <x v="10"/>
    <s v="+1 Water"/>
    <s v="-"/>
    <s v="-"/>
    <x v="12"/>
    <s v="-"/>
    <s v="-"/>
    <x v="0"/>
    <x v="0"/>
    <x v="0"/>
    <x v="0"/>
    <x v="0"/>
    <x v="0"/>
    <x v="0"/>
    <x v="0"/>
    <x v="0"/>
    <x v="1"/>
    <x v="1"/>
    <x v="0"/>
    <x v="1"/>
    <x v="0"/>
    <x v="0"/>
    <x v="1"/>
  </r>
  <r>
    <s v="Tread in Darkness"/>
    <n v="2"/>
    <n v="2"/>
    <x v="5"/>
    <x v="3"/>
    <s v="-"/>
    <s v="-"/>
    <x v="11"/>
    <s v="-"/>
    <n v="2"/>
    <n v="1"/>
    <x v="0"/>
    <s v="-"/>
    <s v="-"/>
    <x v="0"/>
    <x v="0"/>
    <x v="0"/>
    <x v="0"/>
    <x v="1"/>
    <x v="1"/>
    <x v="1"/>
    <x v="0"/>
    <x v="0"/>
    <x v="0"/>
    <x v="0"/>
    <x v="0"/>
    <x v="1"/>
    <x v="0"/>
    <x v="0"/>
    <x v="0"/>
  </r>
  <r>
    <s v="Truthtrance"/>
    <n v="2"/>
    <n v="2"/>
    <x v="5"/>
    <x v="3"/>
    <s v="-"/>
    <s v="-"/>
    <x v="0"/>
    <s v="-"/>
    <n v="1"/>
    <s v="-"/>
    <x v="0"/>
    <s v="-"/>
    <s v="-"/>
    <x v="0"/>
    <x v="0"/>
    <x v="0"/>
    <x v="0"/>
    <x v="0"/>
    <x v="0"/>
    <x v="0"/>
    <x v="1"/>
    <x v="1"/>
    <x v="1"/>
    <x v="1"/>
    <x v="0"/>
    <x v="1"/>
    <x v="0"/>
    <x v="0"/>
    <x v="0"/>
  </r>
  <r>
    <s v="Captured Mentat"/>
    <n v="1"/>
    <n v="1"/>
    <x v="5"/>
    <x v="4"/>
    <s v="-"/>
    <s v="Discard a card --&gt; +1 Intrigue Card, Draw a card"/>
    <x v="0"/>
    <s v="-1 Influence --&gt; +1 Influence"/>
    <n v="1"/>
    <s v="-"/>
    <x v="0"/>
    <s v="-"/>
    <s v="-"/>
    <x v="0"/>
    <x v="0"/>
    <x v="0"/>
    <x v="0"/>
    <x v="1"/>
    <x v="0"/>
    <x v="1"/>
    <x v="0"/>
    <x v="0"/>
    <x v="0"/>
    <x v="0"/>
    <x v="0"/>
    <x v="0"/>
    <x v="0"/>
    <x v="0"/>
    <x v="0"/>
  </r>
  <r>
    <s v="Chani, Clever Tactician"/>
    <n v="1"/>
    <n v="1"/>
    <x v="5"/>
    <x v="4"/>
    <s v="-"/>
    <s v="If you have three or more units in the conflict: +1 Intrigue card"/>
    <x v="0"/>
    <s v="Retreat two of your troops --&gt; +4 Swords"/>
    <s v="-"/>
    <s v="-"/>
    <x v="12"/>
    <s v="-"/>
    <s v="-"/>
    <x v="0"/>
    <x v="0"/>
    <x v="0"/>
    <x v="0"/>
    <x v="0"/>
    <x v="1"/>
    <x v="1"/>
    <x v="0"/>
    <x v="0"/>
    <x v="0"/>
    <x v="1"/>
    <x v="0"/>
    <x v="0"/>
    <x v="0"/>
    <x v="0"/>
    <x v="1"/>
  </r>
  <r>
    <s v="In High Places"/>
    <n v="1"/>
    <n v="1"/>
    <x v="5"/>
    <x v="4"/>
    <s v="+1 Spy"/>
    <s v="-"/>
    <x v="12"/>
    <s v="Recall 2 Spies --&gt; +3 Persuasion"/>
    <n v="2"/>
    <s v="-"/>
    <x v="0"/>
    <s v="-"/>
    <s v="-"/>
    <x v="3"/>
    <x v="0"/>
    <x v="0"/>
    <x v="0"/>
    <x v="0"/>
    <x v="0"/>
    <x v="0"/>
    <x v="1"/>
    <x v="0"/>
    <x v="1"/>
    <x v="0"/>
    <x v="0"/>
    <x v="1"/>
    <x v="0"/>
    <x v="1"/>
    <x v="0"/>
  </r>
  <r>
    <s v="Leadership"/>
    <n v="1"/>
    <n v="1"/>
    <x v="5"/>
    <x v="4"/>
    <s v="-"/>
    <s v="For each sandworm you have in the conflict: Draw a card"/>
    <x v="0"/>
    <s v="+1 Sword for each other revealed card that provides one or more Swords"/>
    <n v="2"/>
    <n v="1"/>
    <x v="0"/>
    <s v="-"/>
    <s v="-"/>
    <x v="3"/>
    <x v="0"/>
    <x v="0"/>
    <x v="0"/>
    <x v="0"/>
    <x v="0"/>
    <x v="1"/>
    <x v="0"/>
    <x v="0"/>
    <x v="0"/>
    <x v="1"/>
    <x v="0"/>
    <x v="0"/>
    <x v="0"/>
    <x v="0"/>
    <x v="1"/>
  </r>
  <r>
    <s v="Spacing Guild's Favor"/>
    <n v="2"/>
    <n v="2"/>
    <x v="5"/>
    <x v="4"/>
    <s v="-"/>
    <s v="Draw a card"/>
    <x v="0"/>
    <s v="Pay 3 Spice --&gt; +1 Influence"/>
    <n v="2"/>
    <s v="-"/>
    <x v="0"/>
    <s v="+2 Spice when discarded "/>
    <s v="-"/>
    <x v="0"/>
    <x v="0"/>
    <x v="0"/>
    <x v="0"/>
    <x v="0"/>
    <x v="0"/>
    <x v="1"/>
    <x v="0"/>
    <x v="1"/>
    <x v="0"/>
    <x v="0"/>
    <x v="0"/>
    <x v="0"/>
    <x v="1"/>
    <x v="0"/>
    <x v="0"/>
  </r>
  <r>
    <s v="Strike Fleet"/>
    <n v="1"/>
    <n v="1"/>
    <x v="5"/>
    <x v="4"/>
    <s v="+1 Spy"/>
    <s v="If you recalled a spy this turn: +3 troop"/>
    <x v="0"/>
    <s v="-"/>
    <n v="1"/>
    <n v="3"/>
    <x v="0"/>
    <s v="-"/>
    <s v="-"/>
    <x v="3"/>
    <x v="0"/>
    <x v="0"/>
    <x v="0"/>
    <x v="0"/>
    <x v="0"/>
    <x v="0"/>
    <x v="0"/>
    <x v="0"/>
    <x v="0"/>
    <x v="0"/>
    <x v="1"/>
    <x v="0"/>
    <x v="0"/>
    <x v="0"/>
    <x v="0"/>
  </r>
  <r>
    <s v="Subversive Advisor"/>
    <n v="1"/>
    <n v="1"/>
    <x v="5"/>
    <x v="4"/>
    <s v="+1 Spy"/>
    <s v="If you sent an Agent to a faction board space, Gain 2 Influence instead of 1 and trash this card"/>
    <x v="0"/>
    <s v="-"/>
    <n v="1"/>
    <s v="-"/>
    <x v="0"/>
    <s v="-"/>
    <s v="-"/>
    <x v="3"/>
    <x v="0"/>
    <x v="0"/>
    <x v="0"/>
    <x v="0"/>
    <x v="0"/>
    <x v="0"/>
    <x v="0"/>
    <x v="0"/>
    <x v="0"/>
    <x v="0"/>
    <x v="1"/>
    <x v="0"/>
    <x v="0"/>
    <x v="0"/>
    <x v="0"/>
  </r>
  <r>
    <s v="Treacherous Maneuver"/>
    <n v="1"/>
    <n v="1"/>
    <x v="5"/>
    <x v="4"/>
    <s v="-"/>
    <s v="Trash this card and an emperor card from your hand --&gt; Gain 2 influence instead of 1"/>
    <x v="0"/>
    <s v="+1 Intrigue Card"/>
    <n v="1"/>
    <s v="-"/>
    <x v="0"/>
    <s v="-"/>
    <s v="-"/>
    <x v="0"/>
    <x v="0"/>
    <x v="0"/>
    <x v="0"/>
    <x v="0"/>
    <x v="0"/>
    <x v="0"/>
    <x v="1"/>
    <x v="1"/>
    <x v="1"/>
    <x v="1"/>
    <x v="0"/>
    <x v="0"/>
    <x v="0"/>
    <x v="1"/>
    <x v="0"/>
  </r>
  <r>
    <s v="Corrinth City"/>
    <n v="1"/>
    <n v="1"/>
    <x v="5"/>
    <x v="5"/>
    <s v="-"/>
    <s v="Discard 2 cards, Pay 5 Solari --&gt; +1 Victory Point"/>
    <x v="0"/>
    <s v="+5 Solari or Pay 5 Solari --&gt; Take your seat on the high council"/>
    <s v="-"/>
    <s v="-"/>
    <x v="0"/>
    <s v="-"/>
    <s v="-"/>
    <x v="0"/>
    <x v="0"/>
    <x v="0"/>
    <x v="0"/>
    <x v="1"/>
    <x v="0"/>
    <x v="0"/>
    <x v="1"/>
    <x v="0"/>
    <x v="0"/>
    <x v="0"/>
    <x v="0"/>
    <x v="0"/>
    <x v="0"/>
    <x v="1"/>
    <x v="0"/>
  </r>
  <r>
    <s v="Desert Power"/>
    <n v="1"/>
    <n v="1"/>
    <x v="5"/>
    <x v="5"/>
    <s v="-"/>
    <s v="If you sent an agent to a Maker board space this turn : +2 Spice"/>
    <x v="0"/>
    <s v="+2 Persuasion or Maker hook: Pay 1 Water --&gt; +1 Sandworm"/>
    <s v="-"/>
    <s v="-"/>
    <x v="0"/>
    <s v="-"/>
    <s v="-"/>
    <x v="3"/>
    <x v="0"/>
    <x v="0"/>
    <x v="0"/>
    <x v="0"/>
    <x v="0"/>
    <x v="0"/>
    <x v="0"/>
    <x v="1"/>
    <x v="0"/>
    <x v="0"/>
    <x v="0"/>
    <x v="0"/>
    <x v="0"/>
    <x v="0"/>
    <x v="1"/>
  </r>
  <r>
    <s v="Junction Headquarters"/>
    <n v="1"/>
    <n v="1"/>
    <x v="5"/>
    <x v="5"/>
    <s v="-"/>
    <s v="Spacing Guild Alliance: Discard an intrigue card, Pay 2 Spice --&gt; +1 Victory Point"/>
    <x v="0"/>
    <s v="+1 Troop, +1 Water"/>
    <n v="1"/>
    <s v="-"/>
    <x v="0"/>
    <s v="-"/>
    <s v="-"/>
    <x v="0"/>
    <x v="0"/>
    <x v="0"/>
    <x v="0"/>
    <x v="1"/>
    <x v="1"/>
    <x v="1"/>
    <x v="0"/>
    <x v="0"/>
    <x v="0"/>
    <x v="0"/>
    <x v="0"/>
    <x v="0"/>
    <x v="1"/>
    <x v="0"/>
    <x v="0"/>
  </r>
  <r>
    <s v="Price is No Object"/>
    <n v="1"/>
    <n v="1"/>
    <x v="5"/>
    <x v="5"/>
    <s v="+2 Solari"/>
    <s v="You may acquire a card to your hand using Solari instead of Persuasion"/>
    <x v="0"/>
    <s v="+2 Solari"/>
    <n v="2"/>
    <s v="-"/>
    <x v="0"/>
    <s v="-"/>
    <s v="-"/>
    <x v="0"/>
    <x v="0"/>
    <x v="0"/>
    <x v="0"/>
    <x v="0"/>
    <x v="0"/>
    <x v="0"/>
    <x v="1"/>
    <x v="0"/>
    <x v="1"/>
    <x v="0"/>
    <x v="0"/>
    <x v="1"/>
    <x v="0"/>
    <x v="0"/>
    <x v="1"/>
  </r>
  <r>
    <s v="Stilgar, the Devoted"/>
    <n v="1"/>
    <n v="1"/>
    <x v="5"/>
    <x v="5"/>
    <s v="-"/>
    <s v="+2 Troops"/>
    <x v="0"/>
    <s v="+2 Persuasion for each Fremen card you have in play (Including this one)"/>
    <s v="-"/>
    <s v="-"/>
    <x v="5"/>
    <s v="-"/>
    <s v="-"/>
    <x v="0"/>
    <x v="0"/>
    <x v="0"/>
    <x v="0"/>
    <x v="0"/>
    <x v="1"/>
    <x v="1"/>
    <x v="0"/>
    <x v="0"/>
    <x v="0"/>
    <x v="1"/>
    <x v="0"/>
    <x v="0"/>
    <x v="0"/>
    <x v="0"/>
    <x v="1"/>
  </r>
  <r>
    <s v="Long Live the Fighters"/>
    <n v="1"/>
    <n v="1"/>
    <x v="5"/>
    <x v="6"/>
    <s v="-"/>
    <s v="If your deck has three or more cards, look at the top three cards. Draw one, discard one, and trash one"/>
    <x v="0"/>
    <s v="-"/>
    <n v="2"/>
    <n v="3"/>
    <x v="0"/>
    <s v="-"/>
    <s v="-"/>
    <x v="0"/>
    <x v="0"/>
    <x v="0"/>
    <x v="0"/>
    <x v="0"/>
    <x v="1"/>
    <x v="0"/>
    <x v="0"/>
    <x v="0"/>
    <x v="0"/>
    <x v="1"/>
    <x v="0"/>
    <x v="0"/>
    <x v="0"/>
    <x v="0"/>
    <x v="1"/>
  </r>
  <r>
    <s v="Overthrow"/>
    <n v="1"/>
    <n v="1"/>
    <x v="5"/>
    <x v="7"/>
    <s v="+1 Intrigue Card"/>
    <s v="Gain 2 Influence instead of one."/>
    <x v="0"/>
    <s v="+1 Troop"/>
    <n v="2"/>
    <n v="2"/>
    <x v="0"/>
    <s v="-"/>
    <s v="-"/>
    <x v="0"/>
    <x v="0"/>
    <x v="0"/>
    <x v="0"/>
    <x v="0"/>
    <x v="0"/>
    <x v="0"/>
    <x v="1"/>
    <x v="1"/>
    <x v="1"/>
    <x v="1"/>
    <x v="0"/>
    <x v="0"/>
    <x v="0"/>
    <x v="0"/>
    <x v="0"/>
  </r>
  <r>
    <s v="Steersman"/>
    <n v="1"/>
    <n v="1"/>
    <x v="5"/>
    <x v="7"/>
    <s v="+1 Influence with Spacing Guild"/>
    <s v="Draw a card. Recall another agent."/>
    <x v="0"/>
    <s v="+2 Spice"/>
    <n v="2"/>
    <s v="-"/>
    <x v="0"/>
    <s v="-"/>
    <s v="-"/>
    <x v="0"/>
    <x v="0"/>
    <x v="0"/>
    <x v="0"/>
    <x v="1"/>
    <x v="1"/>
    <x v="1"/>
    <x v="0"/>
    <x v="1"/>
    <x v="0"/>
    <x v="0"/>
    <x v="0"/>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CCE8F8-46EC-446C-AF92-AB5630EA46F9}" name="PivotTable2" cacheId="1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0" firstHeaderRow="1" firstDataRow="1" firstDataCol="1"/>
  <pivotFields count="30">
    <pivotField showAll="0"/>
    <pivotField dataField="1" showAll="0"/>
    <pivotField showAll="0"/>
    <pivotField showAll="0">
      <items count="7">
        <item x="0"/>
        <item x="1"/>
        <item x="2"/>
        <item x="3"/>
        <item x="4"/>
        <item x="5"/>
        <item t="default"/>
      </items>
    </pivotField>
    <pivotField axis="axisRow" showAll="0">
      <items count="9">
        <item x="0"/>
        <item x="1"/>
        <item x="2"/>
        <item x="3"/>
        <item x="4"/>
        <item x="5"/>
        <item x="6"/>
        <item x="7"/>
        <item t="default"/>
      </items>
    </pivotField>
    <pivotField showAll="0"/>
    <pivotField showAll="0"/>
    <pivotField showAll="0">
      <items count="14">
        <item x="0"/>
        <item x="5"/>
        <item x="1"/>
        <item x="7"/>
        <item x="2"/>
        <item x="10"/>
        <item x="6"/>
        <item x="8"/>
        <item x="12"/>
        <item x="4"/>
        <item x="9"/>
        <item x="11"/>
        <item x="3"/>
        <item t="default"/>
      </items>
    </pivotField>
    <pivotField showAll="0"/>
    <pivotField showAll="0"/>
    <pivotField showAll="0"/>
    <pivotField showAll="0">
      <items count="14">
        <item x="0"/>
        <item x="2"/>
        <item x="1"/>
        <item x="11"/>
        <item x="12"/>
        <item x="7"/>
        <item x="6"/>
        <item x="8"/>
        <item x="4"/>
        <item x="3"/>
        <item x="9"/>
        <item x="5"/>
        <item x="10"/>
        <item t="default"/>
      </items>
    </pivotField>
    <pivotField showAll="0"/>
    <pivotField showAll="0"/>
    <pivotField showAll="0">
      <items count="5">
        <item x="0"/>
        <item x="1"/>
        <item x="2"/>
        <item x="3"/>
        <item t="default"/>
      </items>
    </pivotField>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3">
        <item x="0"/>
        <item x="1"/>
        <item t="default"/>
      </items>
    </pivotField>
    <pivotField showAll="0">
      <items count="4">
        <item x="0"/>
        <item m="1" x="2"/>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4"/>
  </rowFields>
  <rowItems count="9">
    <i>
      <x/>
    </i>
    <i>
      <x v="1"/>
    </i>
    <i>
      <x v="2"/>
    </i>
    <i>
      <x v="3"/>
    </i>
    <i>
      <x v="4"/>
    </i>
    <i>
      <x v="5"/>
    </i>
    <i>
      <x v="6"/>
    </i>
    <i>
      <x v="7"/>
    </i>
    <i t="grand">
      <x/>
    </i>
  </rowItems>
  <colItems count="1">
    <i/>
  </colItems>
  <dataFields count="1">
    <dataField name="Cards in Custom Imperium Deck" fld="1"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 xr10:uid="{9E6FC205-21B3-4B29-A8B1-F6BD7806F7E0}" sourceName="Cost">
  <pivotTables>
    <pivotTable tabId="15" name="PivotTable2"/>
  </pivotTables>
  <data>
    <tabular pivotCacheId="1993322163">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ne_Gesserit_Connection" xr10:uid="{35546625-9BB1-445D-988F-EFFCC525BA0C}" sourceName="Bene Gesserit Connection">
  <pivotTables>
    <pivotTable tabId="15" name="PivotTable2"/>
  </pivotTables>
  <data>
    <tabular pivotCacheId="1993322163">
      <items count="13">
        <i x="0" s="1"/>
        <i x="5" s="1"/>
        <i x="1" s="1"/>
        <i x="7" s="1"/>
        <i x="2" s="1"/>
        <i x="10" s="1"/>
        <i x="6" s="1"/>
        <i x="8" s="1"/>
        <i x="12" s="1"/>
        <i x="4" s="1"/>
        <i x="9" s="1"/>
        <i x="1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men_Bond" xr10:uid="{6312E78F-76FC-468B-95AD-A0CE329E1659}" sourceName="Fremen Bond">
  <pivotTables>
    <pivotTable tabId="15" name="PivotTable2"/>
  </pivotTables>
  <data>
    <tabular pivotCacheId="1993322163">
      <items count="13">
        <i x="0" s="1"/>
        <i x="2" s="1"/>
        <i x="1" s="1"/>
        <i x="11" s="1"/>
        <i x="12" s="1"/>
        <i x="7" s="1"/>
        <i x="6" s="1"/>
        <i x="8" s="1"/>
        <i x="4" s="1"/>
        <i x="3" s="1"/>
        <i x="9" s="1"/>
        <i x="5"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s_Expansion" xr10:uid="{BD60E743-6345-4260-9F28-A7764782F4C5}" sourceName="Requires Expansion">
  <pivotTables>
    <pivotTable tabId="15" name="PivotTable2"/>
  </pivotTables>
  <data>
    <tabular pivotCacheId="1993322163">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ft" xr10:uid="{EA9093E7-1230-4E16-AFF6-4614A2E4383A}" sourceName="Graft">
  <pivotTables>
    <pivotTable tabId="15" name="PivotTable2"/>
  </pivotTables>
  <data>
    <tabular pivotCacheId="1993322163">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load" xr10:uid="{1693DED2-0BA2-434F-83D4-F3F78502CCA1}" sourceName="Unload">
  <pivotTables>
    <pivotTable tabId="15" name="PivotTable2"/>
  </pivotTables>
  <data>
    <tabular pivotCacheId="1993322163">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iltration" xr10:uid="{8AD59C82-C4E5-416D-A1FF-893F1A3EDFB6}" sourceName="Infiltration">
  <pivotTables>
    <pivotTable tabId="15" name="PivotTable2"/>
  </pivotTables>
  <data>
    <tabular pivotCacheId="1993322163">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een_Space" xr10:uid="{C540CB7B-B003-4F22-9DB8-353C8523A791}" sourceName="Green Space">
  <pivotTables>
    <pivotTable tabId="15" name="PivotTable2"/>
  </pivotTables>
  <data>
    <tabular pivotCacheId="1993322163">
      <items count="3">
        <i x="0"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ue_Space" xr10:uid="{102E3EF7-5751-44A1-8453-D1E8B79E1878}" sourceName="Blue Space">
  <pivotTables>
    <pivotTable tabId="15" name="PivotTable2"/>
  </pivotTables>
  <data>
    <tabular pivotCacheId="1993322163">
      <items count="3">
        <i x="0" s="1"/>
        <i x="2"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llow_Space" xr10:uid="{BE9749DE-3BBC-4506-A090-8C3BB2E05001}" sourceName="Yellow Space">
  <pivotTables>
    <pivotTable tabId="15" name="PivotTable2"/>
  </pivotTables>
  <data>
    <tabular pivotCacheId="1993322163">
      <items count="3">
        <i x="0"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eror_Space" xr10:uid="{6A44563B-6815-4471-ABAA-AF4A230E41A3}" sourceName="Emperor Space">
  <pivotTables>
    <pivotTable tabId="15" name="PivotTable2"/>
  </pivotTables>
  <data>
    <tabular pivotCacheId="1993322163">
      <items count="3">
        <i x="0" s="1"/>
        <i x="2"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uild_Space" xr10:uid="{F3C554B0-0C4B-471E-A40F-D6308CC98D28}" sourceName="Guild Space">
  <pivotTables>
    <pivotTable tabId="15" name="PivotTable2"/>
  </pivotTables>
  <data>
    <tabular pivotCacheId="1993322163">
      <items count="3">
        <i x="0" s="1"/>
        <i x="2"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ne_Space" xr10:uid="{51CEB34F-722C-488F-8D1B-55D48759B920}" sourceName="Bene Space">
  <pivotTables>
    <pivotTable tabId="15" name="PivotTable2"/>
  </pivotTables>
  <data>
    <tabular pivotCacheId="1993322163">
      <items count="3">
        <i x="0" s="1"/>
        <i x="2" s="1"/>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men_Space" xr10:uid="{C095EA99-8207-4F56-86F3-EBA329A0F30C}" sourceName="Fremen Space">
  <pivotTables>
    <pivotTable tabId="15" name="PivotTable2"/>
  </pivotTables>
  <data>
    <tabular pivotCacheId="1993322163">
      <items count="3">
        <i x="0" s="1"/>
        <i x="2"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y_Space" xr10:uid="{200ADD30-B752-4926-A794-8E680334DCDA}" sourceName="Spy Space">
  <pivotTables>
    <pivotTable tabId="15" name="PivotTable2"/>
  </pivotTables>
  <data>
    <tabular pivotCacheId="1993322163">
      <items count="2">
        <i x="0"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ne_Gesserit_Faction" xr10:uid="{D3F1D189-9595-4FF5-8A65-94B7AFA43976}" sourceName="Bene Gesserit Faction">
  <pivotTables>
    <pivotTable tabId="15" name="PivotTable2"/>
  </pivotTables>
  <data>
    <tabular pivotCacheId="1993322163">
      <items count="3">
        <i x="0" s="1"/>
        <i x="1" s="1"/>
        <i x="2"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cing_Guild_Faction" xr10:uid="{E3DEBAA2-FB2A-4354-8473-E8FF2F3CABE4}" sourceName="Spacing Guild Faction">
  <pivotTables>
    <pivotTable tabId="15" name="PivotTable2"/>
  </pivotTables>
  <data>
    <tabular pivotCacheId="1993322163">
      <items count="2">
        <i x="0" s="1"/>
        <i x="1"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eror_Faction" xr10:uid="{A5814328-CAC9-4B22-BA89-A4478760CF63}" sourceName="Emperor Faction">
  <pivotTables>
    <pivotTable tabId="15" name="PivotTable2"/>
  </pivotTables>
  <data>
    <tabular pivotCacheId="1993322163">
      <items count="2">
        <i x="0"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men_Faction" xr10:uid="{115C2EAE-AB1C-4E9E-9EBA-0FAAE6E8D471}" sourceName="Fremen Faction">
  <pivotTables>
    <pivotTable tabId="15" name="PivotTable2"/>
  </pivotTables>
  <data>
    <tabular pivotCacheId="1993322163">
      <items count="2">
        <i x="0" s="1"/>
        <i x="1"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Source" xr10:uid="{6F6E2ED9-63EB-4523-9A53-38941B9BFA86}" sourceName="Card Source">
  <pivotTables>
    <pivotTable tabId="15" name="PivotTable2"/>
  </pivotTables>
  <data>
    <tabular pivotCacheId="1993322163">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st" xr10:uid="{73F9118E-A3EE-4B50-9F50-7D8DC3E2EFBC}" cache="Slicer_Cost" caption="Cost" rowHeight="241300"/>
  <slicer name="Bene Gesserit Connection" xr10:uid="{8C04551A-05AC-4D60-9CFC-DC481DCC22CF}" cache="Slicer_Bene_Gesserit_Connection" caption="Bene Gesserit Connection" rowHeight="241300"/>
  <slicer name="Fremen Bond" xr10:uid="{E7B67C5B-2D5D-4FBD-BA58-23B9454D7DEA}" cache="Slicer_Fremen_Bond" caption="Fremen Bond" rowHeight="241300"/>
  <slicer name="Requires Expansion" xr10:uid="{0132C53D-EB10-4E8C-8DE7-5E6CA6DE1ECF}" cache="Slicer_Requires_Expansion" caption="Requires Expansion" rowHeight="241300"/>
  <slicer name="Graft" xr10:uid="{651041C3-D877-412C-88CE-73151C538091}" cache="Slicer_Graft" caption="Graft" rowHeight="241300"/>
  <slicer name="Unload" xr10:uid="{DA472E56-DD15-471B-9060-9E90C8EEFC05}" cache="Slicer_Unload" caption="Unload" rowHeight="241300"/>
  <slicer name="Infiltration" xr10:uid="{C0B0693A-74A9-49B3-826D-68871CA72415}" cache="Slicer_Infiltration" caption="Infiltration" rowHeight="241300"/>
  <slicer name="Green Space" xr10:uid="{8C7F5536-BD50-4B04-A081-C42D7F136483}" cache="Slicer_Green_Space" caption="Green Space" rowHeight="241300"/>
  <slicer name="Blue Space" xr10:uid="{61CF79C5-0B7D-4A7E-BFC7-27DBECBB4D4D}" cache="Slicer_Blue_Space" caption="Blue Space" rowHeight="241300"/>
  <slicer name="Yellow Space" xr10:uid="{32F760F9-A6D6-4455-BE97-1538DD9F675A}" cache="Slicer_Yellow_Space" caption="Yellow Space" rowHeight="241300"/>
  <slicer name="Emperor Space" xr10:uid="{4608D510-ECAB-4AFC-8077-C44FFF905B50}" cache="Slicer_Emperor_Space" caption="Emperor Space" rowHeight="241300"/>
  <slicer name="Guild Space" xr10:uid="{43302E8E-48E9-4651-AC4E-48F75BC2A12E}" cache="Slicer_Guild_Space" caption="Guild Space" rowHeight="241300"/>
  <slicer name="Bene Space" xr10:uid="{147AECF1-4637-4CF1-8BAD-F1AE2BAE9DB6}" cache="Slicer_Bene_Space" caption="Bene Space" rowHeight="241300"/>
  <slicer name="Fremen Space" xr10:uid="{A9C67C22-FD77-4464-8FE4-577C671EF1BB}" cache="Slicer_Fremen_Space" caption="Fremen Space" rowHeight="241300"/>
  <slicer name="Spy Space" xr10:uid="{47097C6A-A141-455E-9FFF-51A68365C387}" cache="Slicer_Spy_Space" caption="Spy Space" rowHeight="241300"/>
  <slicer name="Bene Gesserit Faction" xr10:uid="{C8B09D51-3A48-4417-AB04-AF358818197A}" cache="Slicer_Bene_Gesserit_Faction" caption="Bene Gesserit Faction" rowHeight="241300"/>
  <slicer name="Spacing Guild Faction" xr10:uid="{E9788B19-B0FD-4AD6-817B-DDE9A4C1A600}" cache="Slicer_Spacing_Guild_Faction" caption="Spacing Guild Faction" rowHeight="241300"/>
  <slicer name="Emperor Faction" xr10:uid="{C4674E35-9CDD-4119-9E70-314DEF7B3A9E}" cache="Slicer_Emperor_Faction" caption="Emperor Faction" rowHeight="241300"/>
  <slicer name="Fremen Faction" xr10:uid="{B3312B2F-A537-4A75-BDC7-7FE1E948C3E2}" cache="Slicer_Fremen_Faction" caption="Fremen Faction" rowHeight="241300"/>
  <slicer name="Card Source" xr10:uid="{FE7529DE-799A-43E8-BAE7-BFA3451C08D2}" cache="Slicer_Card_Source" caption="Card Sour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ck" displayName="Deck" ref="A2:AD160" totalsRowCount="1" headerRowDxfId="79" dataDxfId="78" headerRowBorderDxfId="76" tableBorderDxfId="77" totalsRowBorderDxfId="75">
  <autoFilter ref="A2:AD159" xr:uid="{00000000-0009-0000-0100-000001000000}"/>
  <sortState xmlns:xlrd2="http://schemas.microsoft.com/office/spreadsheetml/2017/richdata2" ref="A3:AD159">
    <sortCondition ref="D2:D159"/>
  </sortState>
  <tableColumns count="30">
    <tableColumn id="1" xr3:uid="{00000000-0010-0000-0000-000001000000}" name="Card Name" totalsRowLabel="-" dataDxfId="74" totalsRowDxfId="44"/>
    <tableColumn id="31" xr3:uid="{00000000-0010-0000-0000-00001F000000}" name="Custom Imperium Deck" totalsRowLabel="-" dataDxfId="73" totalsRowDxfId="43"/>
    <tableColumn id="2" xr3:uid="{00000000-0010-0000-0000-000002000000}" name="Base Count" totalsRowLabel="-" dataDxfId="72" totalsRowDxfId="42"/>
    <tableColumn id="3" xr3:uid="{00000000-0010-0000-0000-000003000000}" name="Card Source" totalsRowLabel="-" dataDxfId="71" totalsRowDxfId="41"/>
    <tableColumn id="4" xr3:uid="{00000000-0010-0000-0000-000004000000}" name="Cost" totalsRowLabel="-" dataDxfId="70" totalsRowDxfId="40"/>
    <tableColumn id="5" xr3:uid="{00000000-0010-0000-0000-000005000000}" name="On Purchase" totalsRowLabel="-" dataDxfId="69" totalsRowDxfId="39"/>
    <tableColumn id="6" xr3:uid="{00000000-0010-0000-0000-000006000000}" name="Agent Ability" totalsRowLabel="-" dataDxfId="68" totalsRowDxfId="38"/>
    <tableColumn id="28" xr3:uid="{00000000-0010-0000-0000-00001C000000}" name="Bene Gesserit Connection" totalsRowLabel="-" dataDxfId="67" totalsRowDxfId="37"/>
    <tableColumn id="9" xr3:uid="{00000000-0010-0000-0000-000009000000}" name="Reveal Ability" totalsRowLabel="-" dataDxfId="66" totalsRowDxfId="36"/>
    <tableColumn id="7" xr3:uid="{00000000-0010-0000-0000-000007000000}" name="Reveal Persuasion" totalsRowLabel="-" dataDxfId="65" totalsRowDxfId="35"/>
    <tableColumn id="8" xr3:uid="{00000000-0010-0000-0000-000008000000}" name="Reveal Swords" totalsRowLabel="-" dataDxfId="64" totalsRowDxfId="34"/>
    <tableColumn id="24" xr3:uid="{00000000-0010-0000-0000-000018000000}" name="Fremen Bond" totalsRowFunction="custom" dataDxfId="63" totalsRowDxfId="33">
      <totalsRowFormula>SUM($B$3:$B$159)-SUMIF(L$3:L$159,"-",$B$3:$B$159)</totalsRowFormula>
    </tableColumn>
    <tableColumn id="27" xr3:uid="{00000000-0010-0000-0000-00001B000000}" name="Unique Ability" totalsRowLabel="-" dataDxfId="62" totalsRowDxfId="32"/>
    <tableColumn id="30" xr3:uid="{00000000-0010-0000-0000-00001E000000}" name="Disruptive" totalsRowFunction="custom" dataDxfId="61" totalsRowDxfId="31">
      <totalsRowFormula>SUMIF(N$3:N$159,"X",$B$3:$B$159)</totalsRowFormula>
    </tableColumn>
    <tableColumn id="29" xr3:uid="{00000000-0010-0000-0000-00001D000000}" name="Requires Expansion" totalsRowLabel="-" dataDxfId="60" totalsRowDxfId="30"/>
    <tableColumn id="26" xr3:uid="{00000000-0010-0000-0000-00001A000000}" name="Graft" totalsRowFunction="custom" dataDxfId="59" totalsRowDxfId="29">
      <totalsRowFormula>SUMIF(P$3:P$159,"X",$B$3:$B$159)</totalsRowFormula>
    </tableColumn>
    <tableColumn id="25" xr3:uid="{00000000-0010-0000-0000-000019000000}" name="Unload" totalsRowFunction="custom" dataDxfId="58" totalsRowDxfId="28">
      <totalsRowFormula>SUMIF(Q$3:Q$159,"X",$B$3:$B$159)</totalsRowFormula>
    </tableColumn>
    <tableColumn id="23" xr3:uid="{00000000-0010-0000-0000-000017000000}" name="Infiltration" totalsRowFunction="custom" dataDxfId="57" totalsRowDxfId="27">
      <totalsRowFormula>SUMIF(R$3:R$159,"X",$B$3:$B$159)</totalsRowFormula>
    </tableColumn>
    <tableColumn id="10" xr3:uid="{00000000-0010-0000-0000-00000A000000}" name="Green Space" totalsRowFunction="custom" dataDxfId="56" totalsRowDxfId="26">
      <totalsRowFormula>SUMIF(S$3:S$159,"X",$B$3:$B$159)</totalsRowFormula>
    </tableColumn>
    <tableColumn id="11" xr3:uid="{00000000-0010-0000-0000-00000B000000}" name="Blue Space" totalsRowFunction="custom" dataDxfId="55" totalsRowDxfId="25">
      <totalsRowFormula>SUMIF(T$3:T$159,"X",$B$3:$B$159)</totalsRowFormula>
    </tableColumn>
    <tableColumn id="12" xr3:uid="{00000000-0010-0000-0000-00000C000000}" name="Yellow Space" totalsRowFunction="custom" dataDxfId="54" totalsRowDxfId="24">
      <totalsRowFormula>SUMIF(U$3:U$159,"X",$B$3:$B$159)</totalsRowFormula>
    </tableColumn>
    <tableColumn id="13" xr3:uid="{00000000-0010-0000-0000-00000D000000}" name="Emperor Space" totalsRowFunction="custom" dataDxfId="53" totalsRowDxfId="23">
      <totalsRowFormula>SUMIF(V$3:V$159,"X",$B$3:$B$159)</totalsRowFormula>
    </tableColumn>
    <tableColumn id="14" xr3:uid="{00000000-0010-0000-0000-00000E000000}" name="Guild Space" totalsRowFunction="custom" dataDxfId="52" totalsRowDxfId="22">
      <totalsRowFormula>SUMIF(W$3:W$159,"X",$B$3:$B$159)</totalsRowFormula>
    </tableColumn>
    <tableColumn id="15" xr3:uid="{00000000-0010-0000-0000-00000F000000}" name="Bene Space" totalsRowFunction="custom" dataDxfId="51" totalsRowDxfId="21">
      <totalsRowFormula>SUMIF(X$3:X$159,"X",$B$3:$B$159)</totalsRowFormula>
    </tableColumn>
    <tableColumn id="16" xr3:uid="{00000000-0010-0000-0000-000010000000}" name="Fremen Space" totalsRowFunction="custom" dataDxfId="50" totalsRowDxfId="20">
      <totalsRowFormula>SUMIF(Y$3:Y$159,"X",$B$3:$B$159)</totalsRowFormula>
    </tableColumn>
    <tableColumn id="17" xr3:uid="{00000000-0010-0000-0000-000011000000}" name="Spy Space" totalsRowFunction="custom" dataDxfId="49" totalsRowDxfId="19">
      <totalsRowFormula>SUMIF(Z$3:Z$159,"X",$B$3:$B$159)</totalsRowFormula>
    </tableColumn>
    <tableColumn id="19" xr3:uid="{00000000-0010-0000-0000-000013000000}" name="Bene Gesserit Faction" totalsRowFunction="custom" dataDxfId="48" totalsRowDxfId="18">
      <totalsRowFormula>SUMIF(AA$3:AA$159,"X",$B$3:$B$159)</totalsRowFormula>
    </tableColumn>
    <tableColumn id="20" xr3:uid="{00000000-0010-0000-0000-000014000000}" name="Spacing Guild Faction" totalsRowFunction="custom" dataDxfId="47" totalsRowDxfId="17">
      <totalsRowFormula>SUMIF(AB$3:AB$159,"X",$B$3:$B$159)</totalsRowFormula>
    </tableColumn>
    <tableColumn id="21" xr3:uid="{00000000-0010-0000-0000-000015000000}" name="Emperor Faction" totalsRowFunction="custom" dataDxfId="46" totalsRowDxfId="16">
      <totalsRowFormula>SUMIF(AC$3:AC$159,"X",$B$3:$B$159)</totalsRowFormula>
    </tableColumn>
    <tableColumn id="22" xr3:uid="{00000000-0010-0000-0000-000016000000}" name="Fremen Faction" totalsRowFunction="custom" dataDxfId="45" totalsRowDxfId="15">
      <totalsRowFormula>SUMIF(AD$3:AD$159,"X",$B$3:$B$159)</totalsRow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61"/>
  <sheetViews>
    <sheetView zoomScaleNormal="100" workbookViewId="0">
      <pane ySplit="2" topLeftCell="A35" activePane="bottomLeft" state="frozen"/>
      <selection pane="bottomLeft" activeCell="S45" sqref="S45"/>
    </sheetView>
  </sheetViews>
  <sheetFormatPr defaultColWidth="8.7109375" defaultRowHeight="15" x14ac:dyDescent="0.25"/>
  <cols>
    <col min="1" max="1" width="25.85546875" style="17" bestFit="1" customWidth="1"/>
    <col min="2" max="2" width="8.140625" style="17" customWidth="1"/>
    <col min="3" max="3" width="6.28515625" style="17" customWidth="1"/>
    <col min="4" max="4" width="14.140625" style="17" customWidth="1"/>
    <col min="5" max="5" width="4.85546875" style="17" customWidth="1"/>
    <col min="6" max="6" width="21.140625" style="18" customWidth="1"/>
    <col min="7" max="7" width="48" style="18" customWidth="1"/>
    <col min="8" max="8" width="11.140625" customWidth="1"/>
    <col min="9" max="9" width="40.28515625" style="18" customWidth="1"/>
    <col min="10" max="10" width="10.5703125" style="17" customWidth="1"/>
    <col min="11" max="11" width="7.42578125" style="17" customWidth="1"/>
    <col min="12" max="12" width="17.28515625" style="17" customWidth="1"/>
    <col min="13" max="14" width="13" style="17" customWidth="1"/>
    <col min="15" max="15" width="8.7109375" customWidth="1"/>
    <col min="16" max="16" width="8.42578125" style="17" customWidth="1"/>
    <col min="17" max="17" width="10" style="17" customWidth="1"/>
    <col min="18" max="18" width="8.7109375" customWidth="1"/>
    <col min="19" max="20" width="8.28515625" style="18" customWidth="1"/>
    <col min="21" max="26" width="8.28515625" style="17" customWidth="1"/>
    <col min="27" max="29" width="8.42578125" style="17" customWidth="1"/>
    <col min="30" max="30" width="8.42578125" customWidth="1"/>
  </cols>
  <sheetData>
    <row r="1" spans="1:30" x14ac:dyDescent="0.25">
      <c r="A1" s="17" t="s">
        <v>524</v>
      </c>
      <c r="B1" s="17">
        <f>SUBTOTAL(9,Deck[Custom Imperium Deck])</f>
        <v>207</v>
      </c>
      <c r="C1" s="17">
        <f>SUBTOTAL(9,Deck[Base Count])</f>
        <v>207</v>
      </c>
      <c r="D1" s="17">
        <f>SUBTOTAL(9,Deck[Card Source])</f>
        <v>0</v>
      </c>
      <c r="E1" s="17">
        <f>SUBTOTAL(9,Deck[Cost])</f>
        <v>596</v>
      </c>
      <c r="O1" s="17"/>
    </row>
    <row r="2" spans="1:30" ht="48" customHeight="1" x14ac:dyDescent="0.25">
      <c r="A2" s="15" t="s">
        <v>0</v>
      </c>
      <c r="B2" s="12" t="s">
        <v>548</v>
      </c>
      <c r="C2" s="12" t="s">
        <v>452</v>
      </c>
      <c r="D2" s="12" t="s">
        <v>555</v>
      </c>
      <c r="E2" s="12" t="s">
        <v>3</v>
      </c>
      <c r="F2" s="14" t="s">
        <v>4</v>
      </c>
      <c r="G2" s="14" t="s">
        <v>5</v>
      </c>
      <c r="H2" s="29" t="s">
        <v>450</v>
      </c>
      <c r="I2" s="14" t="s">
        <v>6</v>
      </c>
      <c r="J2" s="12" t="s">
        <v>489</v>
      </c>
      <c r="K2" s="12" t="s">
        <v>7</v>
      </c>
      <c r="L2" s="29" t="s">
        <v>442</v>
      </c>
      <c r="M2" s="29" t="s">
        <v>8</v>
      </c>
      <c r="N2" s="29" t="s">
        <v>449</v>
      </c>
      <c r="O2" s="29" t="s">
        <v>9</v>
      </c>
      <c r="P2" s="19" t="s">
        <v>10</v>
      </c>
      <c r="Q2" s="19" t="s">
        <v>11</v>
      </c>
      <c r="R2" s="29" t="s">
        <v>12</v>
      </c>
      <c r="S2" s="12" t="s">
        <v>13</v>
      </c>
      <c r="T2" s="12" t="s">
        <v>14</v>
      </c>
      <c r="U2" s="12" t="s">
        <v>15</v>
      </c>
      <c r="V2" s="12" t="s">
        <v>16</v>
      </c>
      <c r="W2" s="12" t="s">
        <v>17</v>
      </c>
      <c r="X2" s="12" t="s">
        <v>18</v>
      </c>
      <c r="Y2" s="12" t="s">
        <v>19</v>
      </c>
      <c r="Z2" s="29" t="s">
        <v>20</v>
      </c>
      <c r="AA2" s="29" t="s">
        <v>21</v>
      </c>
      <c r="AB2" s="29" t="s">
        <v>22</v>
      </c>
      <c r="AC2" s="29" t="s">
        <v>23</v>
      </c>
      <c r="AD2" s="29" t="s">
        <v>24</v>
      </c>
    </row>
    <row r="3" spans="1:30" ht="45" x14ac:dyDescent="0.25">
      <c r="A3" s="23" t="s">
        <v>30</v>
      </c>
      <c r="B3" s="24">
        <v>2</v>
      </c>
      <c r="C3" s="24">
        <v>2</v>
      </c>
      <c r="D3" s="26" t="s">
        <v>26</v>
      </c>
      <c r="E3" s="24">
        <v>1</v>
      </c>
      <c r="F3" s="25" t="s">
        <v>27</v>
      </c>
      <c r="G3" s="25" t="s">
        <v>27</v>
      </c>
      <c r="H3" s="60" t="s">
        <v>27</v>
      </c>
      <c r="I3" s="25" t="s">
        <v>31</v>
      </c>
      <c r="J3" s="24" t="s">
        <v>27</v>
      </c>
      <c r="K3" s="24">
        <v>1</v>
      </c>
      <c r="L3" s="60" t="s">
        <v>27</v>
      </c>
      <c r="M3" s="60" t="s">
        <v>32</v>
      </c>
      <c r="N3" s="60" t="s">
        <v>27</v>
      </c>
      <c r="O3" s="60" t="s">
        <v>27</v>
      </c>
      <c r="P3" s="56" t="s">
        <v>27</v>
      </c>
      <c r="Q3" s="56" t="s">
        <v>27</v>
      </c>
      <c r="R3" s="28" t="s">
        <v>27</v>
      </c>
      <c r="S3" s="26" t="s">
        <v>27</v>
      </c>
      <c r="T3" s="26" t="s">
        <v>27</v>
      </c>
      <c r="U3" s="26" t="s">
        <v>27</v>
      </c>
      <c r="V3" s="26" t="s">
        <v>27</v>
      </c>
      <c r="W3" s="26" t="s">
        <v>27</v>
      </c>
      <c r="X3" s="26" t="s">
        <v>27</v>
      </c>
      <c r="Y3" s="26" t="s">
        <v>27</v>
      </c>
      <c r="Z3" s="28" t="s">
        <v>27</v>
      </c>
      <c r="AA3" s="28" t="s">
        <v>27</v>
      </c>
      <c r="AB3" s="28" t="s">
        <v>27</v>
      </c>
      <c r="AC3" s="28" t="s">
        <v>27</v>
      </c>
      <c r="AD3" s="28" t="s">
        <v>27</v>
      </c>
    </row>
    <row r="4" spans="1:30" ht="30" customHeight="1" x14ac:dyDescent="0.25">
      <c r="A4" s="23" t="s">
        <v>48</v>
      </c>
      <c r="B4" s="24">
        <v>1</v>
      </c>
      <c r="C4" s="24">
        <v>1</v>
      </c>
      <c r="D4" s="26" t="s">
        <v>26</v>
      </c>
      <c r="E4" s="24">
        <v>1</v>
      </c>
      <c r="F4" s="25" t="s">
        <v>27</v>
      </c>
      <c r="G4" s="25" t="s">
        <v>34</v>
      </c>
      <c r="H4" s="28" t="s">
        <v>27</v>
      </c>
      <c r="I4" s="25" t="s">
        <v>27</v>
      </c>
      <c r="J4" s="24">
        <v>1</v>
      </c>
      <c r="K4" s="26" t="s">
        <v>27</v>
      </c>
      <c r="L4" s="28" t="s">
        <v>27</v>
      </c>
      <c r="M4" s="28" t="s">
        <v>27</v>
      </c>
      <c r="N4" s="28" t="s">
        <v>27</v>
      </c>
      <c r="O4" s="28" t="s">
        <v>27</v>
      </c>
      <c r="P4" s="56" t="s">
        <v>27</v>
      </c>
      <c r="Q4" s="56" t="s">
        <v>27</v>
      </c>
      <c r="R4" s="27" t="s">
        <v>27</v>
      </c>
      <c r="S4" s="26" t="s">
        <v>27</v>
      </c>
      <c r="T4" s="24" t="s">
        <v>551</v>
      </c>
      <c r="U4" s="26" t="s">
        <v>27</v>
      </c>
      <c r="V4" s="26" t="s">
        <v>27</v>
      </c>
      <c r="W4" s="26" t="s">
        <v>27</v>
      </c>
      <c r="X4" s="26" t="s">
        <v>27</v>
      </c>
      <c r="Y4" s="26" t="s">
        <v>27</v>
      </c>
      <c r="Z4" s="27" t="s">
        <v>27</v>
      </c>
      <c r="AA4" s="28" t="s">
        <v>27</v>
      </c>
      <c r="AB4" s="28" t="s">
        <v>27</v>
      </c>
      <c r="AC4" s="28" t="s">
        <v>27</v>
      </c>
      <c r="AD4" s="28" t="s">
        <v>27</v>
      </c>
    </row>
    <row r="5" spans="1:30" ht="30" x14ac:dyDescent="0.25">
      <c r="A5" s="23" t="s">
        <v>82</v>
      </c>
      <c r="B5" s="24">
        <v>2</v>
      </c>
      <c r="C5" s="24">
        <v>2</v>
      </c>
      <c r="D5" s="26" t="s">
        <v>26</v>
      </c>
      <c r="E5" s="24">
        <v>1</v>
      </c>
      <c r="F5" s="25" t="s">
        <v>27</v>
      </c>
      <c r="G5" s="25" t="s">
        <v>27</v>
      </c>
      <c r="H5" s="60" t="s">
        <v>179</v>
      </c>
      <c r="I5" s="25" t="s">
        <v>27</v>
      </c>
      <c r="J5" s="24">
        <v>1</v>
      </c>
      <c r="K5" s="26" t="s">
        <v>27</v>
      </c>
      <c r="L5" s="28" t="s">
        <v>27</v>
      </c>
      <c r="M5" s="28" t="s">
        <v>27</v>
      </c>
      <c r="N5" s="28" t="s">
        <v>27</v>
      </c>
      <c r="O5" s="28" t="s">
        <v>27</v>
      </c>
      <c r="P5" s="56" t="s">
        <v>27</v>
      </c>
      <c r="Q5" s="56" t="s">
        <v>27</v>
      </c>
      <c r="R5" s="28" t="s">
        <v>27</v>
      </c>
      <c r="S5" s="26" t="s">
        <v>27</v>
      </c>
      <c r="T5" s="24" t="s">
        <v>551</v>
      </c>
      <c r="U5" s="26" t="s">
        <v>27</v>
      </c>
      <c r="V5" s="26" t="s">
        <v>27</v>
      </c>
      <c r="W5" s="26" t="s">
        <v>27</v>
      </c>
      <c r="X5" s="26" t="s">
        <v>27</v>
      </c>
      <c r="Y5" s="26" t="s">
        <v>27</v>
      </c>
      <c r="Z5" s="28" t="s">
        <v>27</v>
      </c>
      <c r="AA5" s="27" t="s">
        <v>551</v>
      </c>
      <c r="AB5" s="27" t="s">
        <v>27</v>
      </c>
      <c r="AC5" s="27" t="s">
        <v>27</v>
      </c>
      <c r="AD5" s="27" t="s">
        <v>27</v>
      </c>
    </row>
    <row r="6" spans="1:30" ht="30" x14ac:dyDescent="0.25">
      <c r="A6" s="23" t="s">
        <v>93</v>
      </c>
      <c r="B6" s="24">
        <v>2</v>
      </c>
      <c r="C6" s="24">
        <v>2</v>
      </c>
      <c r="D6" s="26" t="s">
        <v>26</v>
      </c>
      <c r="E6" s="24">
        <v>1</v>
      </c>
      <c r="F6" s="25" t="s">
        <v>27</v>
      </c>
      <c r="G6" s="25" t="s">
        <v>27</v>
      </c>
      <c r="H6" s="27" t="s">
        <v>27</v>
      </c>
      <c r="I6" s="25" t="s">
        <v>27</v>
      </c>
      <c r="J6" s="24">
        <v>1</v>
      </c>
      <c r="K6" s="24">
        <v>2</v>
      </c>
      <c r="L6" s="27" t="s">
        <v>27</v>
      </c>
      <c r="M6" s="27" t="s">
        <v>27</v>
      </c>
      <c r="N6" s="27" t="s">
        <v>27</v>
      </c>
      <c r="O6" s="27" t="s">
        <v>27</v>
      </c>
      <c r="P6" s="56" t="s">
        <v>27</v>
      </c>
      <c r="Q6" s="56" t="s">
        <v>27</v>
      </c>
      <c r="R6" s="28" t="s">
        <v>27</v>
      </c>
      <c r="S6" s="26" t="s">
        <v>27</v>
      </c>
      <c r="T6" s="26" t="s">
        <v>27</v>
      </c>
      <c r="U6" s="26" t="s">
        <v>27</v>
      </c>
      <c r="V6" s="26" t="s">
        <v>27</v>
      </c>
      <c r="W6" s="26" t="s">
        <v>27</v>
      </c>
      <c r="X6" s="26" t="s">
        <v>27</v>
      </c>
      <c r="Y6" s="26" t="s">
        <v>27</v>
      </c>
      <c r="Z6" s="28" t="s">
        <v>27</v>
      </c>
      <c r="AA6" s="27" t="s">
        <v>27</v>
      </c>
      <c r="AB6" s="27" t="s">
        <v>27</v>
      </c>
      <c r="AC6" s="27" t="s">
        <v>551</v>
      </c>
      <c r="AD6" s="27" t="s">
        <v>27</v>
      </c>
    </row>
    <row r="7" spans="1:30" ht="30" x14ac:dyDescent="0.25">
      <c r="A7" s="23" t="s">
        <v>97</v>
      </c>
      <c r="B7" s="24">
        <v>2</v>
      </c>
      <c r="C7" s="24">
        <v>2</v>
      </c>
      <c r="D7" s="26" t="s">
        <v>26</v>
      </c>
      <c r="E7" s="24">
        <v>1</v>
      </c>
      <c r="F7" s="25" t="s">
        <v>27</v>
      </c>
      <c r="G7" s="25" t="s">
        <v>27</v>
      </c>
      <c r="H7" s="27" t="s">
        <v>27</v>
      </c>
      <c r="I7" s="25" t="s">
        <v>98</v>
      </c>
      <c r="J7" s="24">
        <v>1</v>
      </c>
      <c r="K7" s="24">
        <v>1</v>
      </c>
      <c r="L7" s="27" t="s">
        <v>27</v>
      </c>
      <c r="M7" s="27" t="s">
        <v>27</v>
      </c>
      <c r="N7" s="27" t="s">
        <v>27</v>
      </c>
      <c r="O7" s="27" t="s">
        <v>27</v>
      </c>
      <c r="P7" s="56" t="s">
        <v>27</v>
      </c>
      <c r="Q7" s="56" t="s">
        <v>27</v>
      </c>
      <c r="R7" s="28" t="s">
        <v>27</v>
      </c>
      <c r="S7" s="26" t="s">
        <v>27</v>
      </c>
      <c r="T7" s="24" t="s">
        <v>551</v>
      </c>
      <c r="U7" s="24" t="s">
        <v>551</v>
      </c>
      <c r="V7" s="26" t="s">
        <v>27</v>
      </c>
      <c r="W7" s="26" t="s">
        <v>27</v>
      </c>
      <c r="X7" s="26" t="s">
        <v>27</v>
      </c>
      <c r="Y7" s="26" t="s">
        <v>27</v>
      </c>
      <c r="Z7" s="28" t="s">
        <v>27</v>
      </c>
      <c r="AA7" s="28" t="s">
        <v>27</v>
      </c>
      <c r="AB7" s="28" t="s">
        <v>27</v>
      </c>
      <c r="AC7" s="28" t="s">
        <v>27</v>
      </c>
      <c r="AD7" s="28" t="s">
        <v>27</v>
      </c>
    </row>
    <row r="8" spans="1:30" ht="30" x14ac:dyDescent="0.25">
      <c r="A8" s="23" t="s">
        <v>25</v>
      </c>
      <c r="B8" s="24">
        <v>2</v>
      </c>
      <c r="C8" s="24">
        <v>2</v>
      </c>
      <c r="D8" s="26" t="s">
        <v>26</v>
      </c>
      <c r="E8" s="24">
        <v>2</v>
      </c>
      <c r="F8" s="25" t="s">
        <v>27</v>
      </c>
      <c r="G8" s="25" t="s">
        <v>28</v>
      </c>
      <c r="H8" s="27" t="s">
        <v>27</v>
      </c>
      <c r="I8" s="25" t="s">
        <v>27</v>
      </c>
      <c r="J8" s="24">
        <v>1</v>
      </c>
      <c r="K8" s="24">
        <v>1</v>
      </c>
      <c r="L8" s="27" t="s">
        <v>27</v>
      </c>
      <c r="M8" s="27" t="s">
        <v>27</v>
      </c>
      <c r="N8" s="27" t="s">
        <v>27</v>
      </c>
      <c r="O8" s="27" t="s">
        <v>27</v>
      </c>
      <c r="P8" s="56" t="s">
        <v>27</v>
      </c>
      <c r="Q8" s="56" t="s">
        <v>27</v>
      </c>
      <c r="R8" s="27" t="s">
        <v>27</v>
      </c>
      <c r="S8" s="24" t="s">
        <v>27</v>
      </c>
      <c r="T8" s="24" t="s">
        <v>551</v>
      </c>
      <c r="U8" s="24" t="s">
        <v>27</v>
      </c>
      <c r="V8" s="24" t="s">
        <v>27</v>
      </c>
      <c r="W8" s="24" t="s">
        <v>27</v>
      </c>
      <c r="X8" s="24" t="s">
        <v>27</v>
      </c>
      <c r="Y8" s="24" t="s">
        <v>27</v>
      </c>
      <c r="Z8" s="27" t="s">
        <v>27</v>
      </c>
      <c r="AA8" s="27" t="s">
        <v>27</v>
      </c>
      <c r="AB8" s="27" t="s">
        <v>27</v>
      </c>
      <c r="AC8" s="27" t="s">
        <v>27</v>
      </c>
      <c r="AD8" s="27" t="s">
        <v>27</v>
      </c>
    </row>
    <row r="9" spans="1:30" ht="30" x14ac:dyDescent="0.25">
      <c r="A9" s="23" t="s">
        <v>59</v>
      </c>
      <c r="B9" s="24">
        <v>2</v>
      </c>
      <c r="C9" s="24">
        <v>2</v>
      </c>
      <c r="D9" s="26" t="s">
        <v>26</v>
      </c>
      <c r="E9" s="24">
        <v>2</v>
      </c>
      <c r="F9" s="25" t="s">
        <v>27</v>
      </c>
      <c r="G9" s="25" t="s">
        <v>60</v>
      </c>
      <c r="H9" s="28" t="s">
        <v>27</v>
      </c>
      <c r="I9" s="25" t="s">
        <v>27</v>
      </c>
      <c r="J9" s="24">
        <v>1</v>
      </c>
      <c r="K9" s="26" t="s">
        <v>27</v>
      </c>
      <c r="L9" s="28" t="s">
        <v>27</v>
      </c>
      <c r="M9" s="28" t="s">
        <v>27</v>
      </c>
      <c r="N9" s="28" t="s">
        <v>27</v>
      </c>
      <c r="O9" s="28" t="s">
        <v>27</v>
      </c>
      <c r="P9" s="56" t="s">
        <v>27</v>
      </c>
      <c r="Q9" s="56" t="s">
        <v>27</v>
      </c>
      <c r="R9" s="28" t="s">
        <v>27</v>
      </c>
      <c r="S9" s="26" t="s">
        <v>27</v>
      </c>
      <c r="T9" s="26" t="s">
        <v>27</v>
      </c>
      <c r="U9" s="26" t="s">
        <v>551</v>
      </c>
      <c r="V9" s="26" t="s">
        <v>27</v>
      </c>
      <c r="W9" s="26" t="s">
        <v>551</v>
      </c>
      <c r="X9" s="26" t="s">
        <v>27</v>
      </c>
      <c r="Y9" s="26" t="s">
        <v>27</v>
      </c>
      <c r="Z9" s="28" t="s">
        <v>27</v>
      </c>
      <c r="AA9" s="27" t="s">
        <v>27</v>
      </c>
      <c r="AB9" s="27" t="s">
        <v>551</v>
      </c>
      <c r="AC9" s="27" t="s">
        <v>27</v>
      </c>
      <c r="AD9" s="27" t="s">
        <v>27</v>
      </c>
    </row>
    <row r="10" spans="1:30" ht="30" x14ac:dyDescent="0.25">
      <c r="A10" s="23" t="s">
        <v>72</v>
      </c>
      <c r="B10" s="24">
        <v>2</v>
      </c>
      <c r="C10" s="24">
        <v>2</v>
      </c>
      <c r="D10" s="26" t="s">
        <v>26</v>
      </c>
      <c r="E10" s="24">
        <v>2</v>
      </c>
      <c r="F10" s="25" t="s">
        <v>27</v>
      </c>
      <c r="G10" s="25" t="s">
        <v>73</v>
      </c>
      <c r="H10" s="27" t="s">
        <v>27</v>
      </c>
      <c r="I10" s="25" t="s">
        <v>27</v>
      </c>
      <c r="J10" s="24">
        <v>1</v>
      </c>
      <c r="K10" s="24">
        <v>1</v>
      </c>
      <c r="L10" s="27" t="s">
        <v>27</v>
      </c>
      <c r="M10" s="27" t="s">
        <v>27</v>
      </c>
      <c r="N10" s="27" t="s">
        <v>27</v>
      </c>
      <c r="O10" s="27" t="s">
        <v>27</v>
      </c>
      <c r="P10" s="56" t="s">
        <v>27</v>
      </c>
      <c r="Q10" s="56" t="s">
        <v>27</v>
      </c>
      <c r="R10" s="28" t="s">
        <v>27</v>
      </c>
      <c r="S10" s="26" t="s">
        <v>27</v>
      </c>
      <c r="T10" s="26" t="s">
        <v>27</v>
      </c>
      <c r="U10" s="26" t="s">
        <v>27</v>
      </c>
      <c r="V10" s="24" t="s">
        <v>551</v>
      </c>
      <c r="W10" s="26" t="s">
        <v>27</v>
      </c>
      <c r="X10" s="26" t="s">
        <v>27</v>
      </c>
      <c r="Y10" s="26" t="s">
        <v>27</v>
      </c>
      <c r="Z10" s="28" t="s">
        <v>27</v>
      </c>
      <c r="AA10" s="27" t="s">
        <v>27</v>
      </c>
      <c r="AB10" s="27" t="s">
        <v>27</v>
      </c>
      <c r="AC10" s="27" t="s">
        <v>551</v>
      </c>
      <c r="AD10" s="27" t="s">
        <v>27</v>
      </c>
    </row>
    <row r="11" spans="1:30" ht="30" x14ac:dyDescent="0.25">
      <c r="A11" s="23" t="s">
        <v>105</v>
      </c>
      <c r="B11" s="24">
        <v>2</v>
      </c>
      <c r="C11" s="24">
        <v>2</v>
      </c>
      <c r="D11" s="26" t="s">
        <v>26</v>
      </c>
      <c r="E11" s="24">
        <v>2</v>
      </c>
      <c r="F11" s="25" t="s">
        <v>27</v>
      </c>
      <c r="G11" s="25" t="s">
        <v>27</v>
      </c>
      <c r="H11" s="27" t="s">
        <v>27</v>
      </c>
      <c r="I11" s="25" t="s">
        <v>27</v>
      </c>
      <c r="J11" s="24">
        <v>1</v>
      </c>
      <c r="K11" s="24">
        <v>1</v>
      </c>
      <c r="L11" s="62" t="s">
        <v>39</v>
      </c>
      <c r="M11" s="27" t="s">
        <v>27</v>
      </c>
      <c r="N11" s="27" t="s">
        <v>27</v>
      </c>
      <c r="O11" s="27" t="s">
        <v>27</v>
      </c>
      <c r="P11" s="56" t="s">
        <v>27</v>
      </c>
      <c r="Q11" s="56" t="s">
        <v>27</v>
      </c>
      <c r="R11" s="27" t="s">
        <v>27</v>
      </c>
      <c r="S11" s="26" t="s">
        <v>27</v>
      </c>
      <c r="T11" s="26" t="s">
        <v>27</v>
      </c>
      <c r="U11" s="24" t="s">
        <v>551</v>
      </c>
      <c r="V11" s="26" t="s">
        <v>27</v>
      </c>
      <c r="W11" s="26" t="s">
        <v>27</v>
      </c>
      <c r="X11" s="26" t="s">
        <v>27</v>
      </c>
      <c r="Y11" s="24" t="s">
        <v>551</v>
      </c>
      <c r="Z11" s="27" t="s">
        <v>27</v>
      </c>
      <c r="AA11" s="27" t="s">
        <v>27</v>
      </c>
      <c r="AB11" s="27" t="s">
        <v>27</v>
      </c>
      <c r="AC11" s="27" t="s">
        <v>27</v>
      </c>
      <c r="AD11" s="27" t="s">
        <v>551</v>
      </c>
    </row>
    <row r="12" spans="1:30" ht="30" x14ac:dyDescent="0.25">
      <c r="A12" s="23" t="s">
        <v>106</v>
      </c>
      <c r="B12" s="24">
        <v>2</v>
      </c>
      <c r="C12" s="24">
        <v>2</v>
      </c>
      <c r="D12" s="26" t="s">
        <v>26</v>
      </c>
      <c r="E12" s="24">
        <v>2</v>
      </c>
      <c r="F12" s="25" t="s">
        <v>27</v>
      </c>
      <c r="G12" s="25" t="s">
        <v>107</v>
      </c>
      <c r="H12" s="27" t="s">
        <v>27</v>
      </c>
      <c r="I12" s="25" t="s">
        <v>27</v>
      </c>
      <c r="J12" s="24">
        <v>1</v>
      </c>
      <c r="K12" s="24">
        <v>1</v>
      </c>
      <c r="L12" s="27" t="s">
        <v>27</v>
      </c>
      <c r="M12" s="27" t="s">
        <v>27</v>
      </c>
      <c r="N12" s="27" t="s">
        <v>27</v>
      </c>
      <c r="O12" s="27" t="s">
        <v>27</v>
      </c>
      <c r="P12" s="56" t="s">
        <v>27</v>
      </c>
      <c r="Q12" s="56" t="s">
        <v>27</v>
      </c>
      <c r="R12" s="28" t="s">
        <v>27</v>
      </c>
      <c r="S12" s="26" t="s">
        <v>27</v>
      </c>
      <c r="T12" s="24" t="s">
        <v>551</v>
      </c>
      <c r="U12" s="26" t="s">
        <v>27</v>
      </c>
      <c r="V12" s="26" t="s">
        <v>27</v>
      </c>
      <c r="W12" s="26" t="s">
        <v>27</v>
      </c>
      <c r="X12" s="26" t="s">
        <v>27</v>
      </c>
      <c r="Y12" s="26" t="s">
        <v>27</v>
      </c>
      <c r="Z12" s="28" t="s">
        <v>27</v>
      </c>
      <c r="AA12" s="27" t="s">
        <v>27</v>
      </c>
      <c r="AB12" s="27" t="s">
        <v>551</v>
      </c>
      <c r="AC12" s="27" t="s">
        <v>27</v>
      </c>
      <c r="AD12" s="27" t="s">
        <v>27</v>
      </c>
    </row>
    <row r="13" spans="1:30" ht="30" customHeight="1" x14ac:dyDescent="0.25">
      <c r="A13" s="23" t="s">
        <v>111</v>
      </c>
      <c r="B13" s="24">
        <v>2</v>
      </c>
      <c r="C13" s="24">
        <v>2</v>
      </c>
      <c r="D13" s="26" t="s">
        <v>26</v>
      </c>
      <c r="E13" s="24">
        <v>2</v>
      </c>
      <c r="F13" s="25" t="s">
        <v>27</v>
      </c>
      <c r="G13" s="25" t="s">
        <v>112</v>
      </c>
      <c r="H13" s="28" t="s">
        <v>27</v>
      </c>
      <c r="I13" s="25" t="s">
        <v>27</v>
      </c>
      <c r="J13" s="24">
        <v>2</v>
      </c>
      <c r="K13" s="26" t="s">
        <v>27</v>
      </c>
      <c r="L13" s="28" t="s">
        <v>27</v>
      </c>
      <c r="M13" s="28" t="s">
        <v>27</v>
      </c>
      <c r="N13" s="28" t="s">
        <v>27</v>
      </c>
      <c r="O13" s="28" t="s">
        <v>27</v>
      </c>
      <c r="P13" s="56" t="s">
        <v>27</v>
      </c>
      <c r="Q13" s="56" t="s">
        <v>27</v>
      </c>
      <c r="R13" s="27" t="s">
        <v>27</v>
      </c>
      <c r="S13" s="26" t="s">
        <v>27</v>
      </c>
      <c r="T13" s="24" t="s">
        <v>551</v>
      </c>
      <c r="U13" s="24" t="s">
        <v>551</v>
      </c>
      <c r="V13" s="26" t="s">
        <v>27</v>
      </c>
      <c r="W13" s="26" t="s">
        <v>27</v>
      </c>
      <c r="X13" s="26" t="s">
        <v>27</v>
      </c>
      <c r="Y13" s="26" t="s">
        <v>27</v>
      </c>
      <c r="Z13" s="27" t="s">
        <v>27</v>
      </c>
      <c r="AA13" s="27" t="s">
        <v>551</v>
      </c>
      <c r="AB13" s="27" t="s">
        <v>27</v>
      </c>
      <c r="AC13" s="27" t="s">
        <v>27</v>
      </c>
      <c r="AD13" s="27" t="s">
        <v>27</v>
      </c>
    </row>
    <row r="14" spans="1:30" ht="30" customHeight="1" x14ac:dyDescent="0.25">
      <c r="A14" s="23" t="s">
        <v>33</v>
      </c>
      <c r="B14" s="24">
        <v>2</v>
      </c>
      <c r="C14" s="24">
        <v>2</v>
      </c>
      <c r="D14" s="26" t="s">
        <v>26</v>
      </c>
      <c r="E14" s="24">
        <v>3</v>
      </c>
      <c r="F14" s="25" t="s">
        <v>27</v>
      </c>
      <c r="G14" s="25" t="s">
        <v>34</v>
      </c>
      <c r="H14" s="27" t="s">
        <v>27</v>
      </c>
      <c r="I14" s="25" t="s">
        <v>27</v>
      </c>
      <c r="J14" s="24">
        <v>1</v>
      </c>
      <c r="K14" s="24" t="s">
        <v>27</v>
      </c>
      <c r="L14" s="27" t="s">
        <v>27</v>
      </c>
      <c r="M14" s="27" t="s">
        <v>27</v>
      </c>
      <c r="N14" s="27" t="s">
        <v>27</v>
      </c>
      <c r="O14" s="27" t="s">
        <v>27</v>
      </c>
      <c r="P14" s="56" t="s">
        <v>27</v>
      </c>
      <c r="Q14" s="56" t="s">
        <v>27</v>
      </c>
      <c r="R14" s="28" t="s">
        <v>27</v>
      </c>
      <c r="S14" s="24" t="s">
        <v>551</v>
      </c>
      <c r="T14" s="24" t="s">
        <v>551</v>
      </c>
      <c r="U14" s="24" t="s">
        <v>551</v>
      </c>
      <c r="V14" s="26" t="s">
        <v>27</v>
      </c>
      <c r="W14" s="26" t="s">
        <v>27</v>
      </c>
      <c r="X14" s="26" t="s">
        <v>27</v>
      </c>
      <c r="Y14" s="26" t="s">
        <v>27</v>
      </c>
      <c r="Z14" s="28" t="s">
        <v>27</v>
      </c>
      <c r="AA14" s="28" t="s">
        <v>551</v>
      </c>
      <c r="AB14" s="28" t="s">
        <v>27</v>
      </c>
      <c r="AC14" s="28" t="s">
        <v>27</v>
      </c>
      <c r="AD14" s="28" t="s">
        <v>27</v>
      </c>
    </row>
    <row r="15" spans="1:30" ht="30" customHeight="1" x14ac:dyDescent="0.25">
      <c r="A15" s="23" t="s">
        <v>35</v>
      </c>
      <c r="B15" s="24">
        <v>3</v>
      </c>
      <c r="C15" s="24">
        <v>3</v>
      </c>
      <c r="D15" s="26" t="s">
        <v>26</v>
      </c>
      <c r="E15" s="24">
        <v>3</v>
      </c>
      <c r="F15" s="25" t="s">
        <v>27</v>
      </c>
      <c r="G15" s="25" t="s">
        <v>27</v>
      </c>
      <c r="H15" s="27" t="s">
        <v>27</v>
      </c>
      <c r="I15" s="25" t="s">
        <v>36</v>
      </c>
      <c r="J15" s="24" t="s">
        <v>27</v>
      </c>
      <c r="K15" s="24" t="s">
        <v>27</v>
      </c>
      <c r="L15" s="27" t="s">
        <v>27</v>
      </c>
      <c r="M15" s="27" t="s">
        <v>27</v>
      </c>
      <c r="N15" s="27" t="s">
        <v>27</v>
      </c>
      <c r="O15" s="27" t="s">
        <v>27</v>
      </c>
      <c r="P15" s="56" t="s">
        <v>27</v>
      </c>
      <c r="Q15" s="56" t="s">
        <v>27</v>
      </c>
      <c r="R15" s="28" t="s">
        <v>27</v>
      </c>
      <c r="S15" s="24" t="s">
        <v>551</v>
      </c>
      <c r="T15" s="26" t="s">
        <v>27</v>
      </c>
      <c r="U15" s="26" t="s">
        <v>27</v>
      </c>
      <c r="V15" s="26" t="s">
        <v>27</v>
      </c>
      <c r="W15" s="26" t="s">
        <v>27</v>
      </c>
      <c r="X15" s="24" t="s">
        <v>551</v>
      </c>
      <c r="Y15" s="26" t="s">
        <v>27</v>
      </c>
      <c r="Z15" s="28" t="s">
        <v>27</v>
      </c>
      <c r="AA15" s="28" t="s">
        <v>551</v>
      </c>
      <c r="AB15" s="28" t="s">
        <v>27</v>
      </c>
      <c r="AC15" s="28" t="s">
        <v>27</v>
      </c>
      <c r="AD15" s="28" t="s">
        <v>27</v>
      </c>
    </row>
    <row r="16" spans="1:30" ht="30" customHeight="1" x14ac:dyDescent="0.25">
      <c r="A16" s="23" t="s">
        <v>46</v>
      </c>
      <c r="B16" s="24">
        <v>1</v>
      </c>
      <c r="C16" s="24">
        <v>1</v>
      </c>
      <c r="D16" s="26" t="s">
        <v>26</v>
      </c>
      <c r="E16" s="24">
        <v>3</v>
      </c>
      <c r="F16" s="25" t="s">
        <v>27</v>
      </c>
      <c r="G16" s="25" t="s">
        <v>31</v>
      </c>
      <c r="H16" s="27" t="s">
        <v>27</v>
      </c>
      <c r="I16" s="25" t="s">
        <v>27</v>
      </c>
      <c r="J16" s="26" t="s">
        <v>27</v>
      </c>
      <c r="K16" s="24">
        <v>1</v>
      </c>
      <c r="L16" s="60" t="s">
        <v>443</v>
      </c>
      <c r="M16" s="27" t="s">
        <v>27</v>
      </c>
      <c r="N16" s="27" t="s">
        <v>27</v>
      </c>
      <c r="O16" s="27" t="s">
        <v>27</v>
      </c>
      <c r="P16" s="56" t="s">
        <v>27</v>
      </c>
      <c r="Q16" s="56" t="s">
        <v>27</v>
      </c>
      <c r="R16" s="28" t="s">
        <v>27</v>
      </c>
      <c r="S16" s="26" t="s">
        <v>27</v>
      </c>
      <c r="T16" s="24" t="s">
        <v>27</v>
      </c>
      <c r="U16" s="26" t="s">
        <v>551</v>
      </c>
      <c r="V16" s="26" t="s">
        <v>27</v>
      </c>
      <c r="W16" s="26" t="s">
        <v>27</v>
      </c>
      <c r="X16" s="26" t="s">
        <v>27</v>
      </c>
      <c r="Y16" s="24" t="s">
        <v>551</v>
      </c>
      <c r="Z16" s="28" t="s">
        <v>27</v>
      </c>
      <c r="AA16" s="27" t="s">
        <v>27</v>
      </c>
      <c r="AB16" s="27" t="s">
        <v>27</v>
      </c>
      <c r="AC16" s="27" t="s">
        <v>27</v>
      </c>
      <c r="AD16" s="27" t="s">
        <v>551</v>
      </c>
    </row>
    <row r="17" spans="1:30" ht="45" x14ac:dyDescent="0.25">
      <c r="A17" s="23" t="s">
        <v>52</v>
      </c>
      <c r="B17" s="24">
        <v>2</v>
      </c>
      <c r="C17" s="24">
        <v>2</v>
      </c>
      <c r="D17" s="26" t="s">
        <v>26</v>
      </c>
      <c r="E17" s="24">
        <v>3</v>
      </c>
      <c r="F17" s="25" t="s">
        <v>27</v>
      </c>
      <c r="G17" s="25" t="s">
        <v>53</v>
      </c>
      <c r="H17" s="28" t="s">
        <v>27</v>
      </c>
      <c r="I17" s="25" t="s">
        <v>27</v>
      </c>
      <c r="J17" s="24">
        <v>1</v>
      </c>
      <c r="K17" s="26" t="s">
        <v>27</v>
      </c>
      <c r="L17" s="60" t="s">
        <v>444</v>
      </c>
      <c r="M17" s="28" t="s">
        <v>27</v>
      </c>
      <c r="N17" s="28" t="s">
        <v>27</v>
      </c>
      <c r="O17" s="28" t="s">
        <v>27</v>
      </c>
      <c r="P17" s="56" t="s">
        <v>27</v>
      </c>
      <c r="Q17" s="56" t="s">
        <v>27</v>
      </c>
      <c r="R17" s="28" t="s">
        <v>27</v>
      </c>
      <c r="S17" s="26" t="s">
        <v>27</v>
      </c>
      <c r="T17" s="24" t="s">
        <v>551</v>
      </c>
      <c r="U17" s="24" t="s">
        <v>551</v>
      </c>
      <c r="V17" s="26" t="s">
        <v>27</v>
      </c>
      <c r="W17" s="26" t="s">
        <v>27</v>
      </c>
      <c r="X17" s="26" t="s">
        <v>27</v>
      </c>
      <c r="Y17" s="26" t="s">
        <v>27</v>
      </c>
      <c r="Z17" s="28" t="s">
        <v>27</v>
      </c>
      <c r="AA17" s="28" t="s">
        <v>27</v>
      </c>
      <c r="AB17" s="28" t="s">
        <v>27</v>
      </c>
      <c r="AC17" s="28" t="s">
        <v>27</v>
      </c>
      <c r="AD17" s="28" t="s">
        <v>551</v>
      </c>
    </row>
    <row r="18" spans="1:30" ht="30" x14ac:dyDescent="0.25">
      <c r="A18" s="1" t="s">
        <v>58</v>
      </c>
      <c r="B18" s="2">
        <v>2</v>
      </c>
      <c r="C18" s="2">
        <v>2</v>
      </c>
      <c r="D18" s="4" t="s">
        <v>26</v>
      </c>
      <c r="E18" s="2">
        <v>3</v>
      </c>
      <c r="F18" s="3" t="s">
        <v>27</v>
      </c>
      <c r="G18" s="3" t="s">
        <v>53</v>
      </c>
      <c r="H18" s="60" t="s">
        <v>92</v>
      </c>
      <c r="I18" s="3" t="s">
        <v>27</v>
      </c>
      <c r="J18" s="2">
        <v>2</v>
      </c>
      <c r="K18" s="4" t="s">
        <v>27</v>
      </c>
      <c r="L18" s="28" t="s">
        <v>27</v>
      </c>
      <c r="M18" s="28" t="s">
        <v>27</v>
      </c>
      <c r="N18" s="28" t="s">
        <v>27</v>
      </c>
      <c r="O18" s="28" t="s">
        <v>27</v>
      </c>
      <c r="P18" s="56" t="s">
        <v>27</v>
      </c>
      <c r="Q18" s="56" t="s">
        <v>27</v>
      </c>
      <c r="R18" s="28" t="s">
        <v>27</v>
      </c>
      <c r="S18" s="2" t="s">
        <v>551</v>
      </c>
      <c r="T18" s="2" t="s">
        <v>551</v>
      </c>
      <c r="U18" s="4" t="s">
        <v>27</v>
      </c>
      <c r="V18" s="4" t="s">
        <v>27</v>
      </c>
      <c r="W18" s="4" t="s">
        <v>27</v>
      </c>
      <c r="X18" s="4" t="s">
        <v>27</v>
      </c>
      <c r="Y18" s="4" t="s">
        <v>27</v>
      </c>
      <c r="Z18" s="28" t="s">
        <v>27</v>
      </c>
      <c r="AA18" s="6" t="s">
        <v>551</v>
      </c>
      <c r="AB18" s="6" t="s">
        <v>27</v>
      </c>
      <c r="AC18" s="6" t="s">
        <v>27</v>
      </c>
      <c r="AD18" s="6" t="s">
        <v>27</v>
      </c>
    </row>
    <row r="19" spans="1:30" ht="30" x14ac:dyDescent="0.25">
      <c r="A19" s="23" t="s">
        <v>64</v>
      </c>
      <c r="B19" s="24">
        <v>1</v>
      </c>
      <c r="C19" s="24">
        <v>1</v>
      </c>
      <c r="D19" s="26" t="s">
        <v>26</v>
      </c>
      <c r="E19" s="24">
        <v>3</v>
      </c>
      <c r="F19" s="25" t="s">
        <v>27</v>
      </c>
      <c r="G19" s="25" t="s">
        <v>27</v>
      </c>
      <c r="H19" s="28" t="s">
        <v>27</v>
      </c>
      <c r="I19" s="3" t="s">
        <v>65</v>
      </c>
      <c r="J19" s="26" t="s">
        <v>27</v>
      </c>
      <c r="K19" s="26" t="s">
        <v>27</v>
      </c>
      <c r="L19" s="28" t="s">
        <v>27</v>
      </c>
      <c r="M19" s="28" t="s">
        <v>27</v>
      </c>
      <c r="N19" s="28" t="s">
        <v>27</v>
      </c>
      <c r="O19" s="28" t="s">
        <v>27</v>
      </c>
      <c r="P19" s="56" t="s">
        <v>27</v>
      </c>
      <c r="Q19" s="56" t="s">
        <v>27</v>
      </c>
      <c r="R19" s="27" t="s">
        <v>27</v>
      </c>
      <c r="S19" s="24" t="s">
        <v>551</v>
      </c>
      <c r="T19" s="26" t="s">
        <v>27</v>
      </c>
      <c r="U19" s="26" t="s">
        <v>27</v>
      </c>
      <c r="V19" s="24" t="s">
        <v>551</v>
      </c>
      <c r="W19" s="24" t="s">
        <v>551</v>
      </c>
      <c r="X19" s="26" t="s">
        <v>27</v>
      </c>
      <c r="Y19" s="26" t="s">
        <v>27</v>
      </c>
      <c r="Z19" s="27" t="s">
        <v>27</v>
      </c>
      <c r="AA19" s="27" t="s">
        <v>27</v>
      </c>
      <c r="AB19" s="27" t="s">
        <v>551</v>
      </c>
      <c r="AC19" s="27" t="s">
        <v>27</v>
      </c>
      <c r="AD19" s="27" t="s">
        <v>27</v>
      </c>
    </row>
    <row r="20" spans="1:30" ht="30" x14ac:dyDescent="0.25">
      <c r="A20" s="23" t="s">
        <v>99</v>
      </c>
      <c r="B20" s="24">
        <v>2</v>
      </c>
      <c r="C20" s="24">
        <v>2</v>
      </c>
      <c r="D20" s="26" t="s">
        <v>26</v>
      </c>
      <c r="E20" s="24">
        <v>3</v>
      </c>
      <c r="F20" s="25" t="s">
        <v>27</v>
      </c>
      <c r="G20" s="25" t="s">
        <v>100</v>
      </c>
      <c r="H20" s="28" t="s">
        <v>27</v>
      </c>
      <c r="I20" s="25" t="s">
        <v>27</v>
      </c>
      <c r="J20" s="24">
        <v>2</v>
      </c>
      <c r="K20" s="26" t="s">
        <v>27</v>
      </c>
      <c r="L20" s="28" t="s">
        <v>27</v>
      </c>
      <c r="M20" s="28" t="s">
        <v>27</v>
      </c>
      <c r="N20" s="28" t="s">
        <v>27</v>
      </c>
      <c r="O20" s="28" t="s">
        <v>27</v>
      </c>
      <c r="P20" s="56" t="s">
        <v>27</v>
      </c>
      <c r="Q20" s="56" t="s">
        <v>27</v>
      </c>
      <c r="R20" s="27" t="s">
        <v>27</v>
      </c>
      <c r="S20" s="24" t="s">
        <v>551</v>
      </c>
      <c r="T20" s="26" t="s">
        <v>27</v>
      </c>
      <c r="U20" s="24" t="s">
        <v>551</v>
      </c>
      <c r="V20" s="26" t="s">
        <v>27</v>
      </c>
      <c r="W20" s="26" t="s">
        <v>27</v>
      </c>
      <c r="X20" s="26" t="s">
        <v>27</v>
      </c>
      <c r="Y20" s="26" t="s">
        <v>27</v>
      </c>
      <c r="Z20" s="27" t="s">
        <v>27</v>
      </c>
      <c r="AA20" s="28" t="s">
        <v>27</v>
      </c>
      <c r="AB20" s="28" t="s">
        <v>27</v>
      </c>
      <c r="AC20" s="28" t="s">
        <v>27</v>
      </c>
      <c r="AD20" s="28" t="s">
        <v>27</v>
      </c>
    </row>
    <row r="21" spans="1:30" ht="30" x14ac:dyDescent="0.25">
      <c r="A21" s="1" t="s">
        <v>104</v>
      </c>
      <c r="B21" s="2">
        <v>2</v>
      </c>
      <c r="C21" s="2">
        <v>2</v>
      </c>
      <c r="D21" s="4" t="s">
        <v>26</v>
      </c>
      <c r="E21" s="2">
        <v>3</v>
      </c>
      <c r="F21" s="25" t="s">
        <v>27</v>
      </c>
      <c r="G21" s="3" t="s">
        <v>34</v>
      </c>
      <c r="H21" s="28" t="s">
        <v>27</v>
      </c>
      <c r="I21" s="3" t="s">
        <v>27</v>
      </c>
      <c r="J21" s="2">
        <v>2</v>
      </c>
      <c r="K21" s="4" t="s">
        <v>27</v>
      </c>
      <c r="L21" s="28" t="s">
        <v>27</v>
      </c>
      <c r="M21" s="28" t="s">
        <v>27</v>
      </c>
      <c r="N21" s="28" t="s">
        <v>27</v>
      </c>
      <c r="O21" s="28" t="s">
        <v>27</v>
      </c>
      <c r="P21" s="56" t="s">
        <v>27</v>
      </c>
      <c r="Q21" s="56" t="s">
        <v>27</v>
      </c>
      <c r="R21" s="28" t="s">
        <v>27</v>
      </c>
      <c r="S21" s="4" t="s">
        <v>27</v>
      </c>
      <c r="T21" s="4" t="s">
        <v>27</v>
      </c>
      <c r="U21" s="4" t="s">
        <v>27</v>
      </c>
      <c r="V21" s="4" t="s">
        <v>27</v>
      </c>
      <c r="W21" s="2" t="s">
        <v>551</v>
      </c>
      <c r="X21" s="4" t="s">
        <v>27</v>
      </c>
      <c r="Y21" s="4" t="s">
        <v>27</v>
      </c>
      <c r="Z21" s="28" t="s">
        <v>27</v>
      </c>
      <c r="AA21" s="6" t="s">
        <v>27</v>
      </c>
      <c r="AB21" s="6" t="s">
        <v>551</v>
      </c>
      <c r="AC21" s="6" t="s">
        <v>27</v>
      </c>
      <c r="AD21" s="6" t="s">
        <v>27</v>
      </c>
    </row>
    <row r="22" spans="1:30" ht="30" x14ac:dyDescent="0.25">
      <c r="A22" s="23" t="s">
        <v>109</v>
      </c>
      <c r="B22" s="24">
        <v>1</v>
      </c>
      <c r="C22" s="24">
        <v>1</v>
      </c>
      <c r="D22" s="26" t="s">
        <v>26</v>
      </c>
      <c r="E22" s="24">
        <v>3</v>
      </c>
      <c r="F22" s="25" t="s">
        <v>27</v>
      </c>
      <c r="G22" s="25" t="s">
        <v>110</v>
      </c>
      <c r="H22" s="28" t="s">
        <v>27</v>
      </c>
      <c r="I22" s="25" t="s">
        <v>27</v>
      </c>
      <c r="J22" s="24">
        <v>2</v>
      </c>
      <c r="K22" s="26" t="s">
        <v>27</v>
      </c>
      <c r="L22" s="28" t="s">
        <v>27</v>
      </c>
      <c r="M22" s="28" t="s">
        <v>27</v>
      </c>
      <c r="N22" s="28" t="s">
        <v>551</v>
      </c>
      <c r="O22" s="28" t="s">
        <v>27</v>
      </c>
      <c r="P22" s="56" t="s">
        <v>27</v>
      </c>
      <c r="Q22" s="56" t="s">
        <v>27</v>
      </c>
      <c r="R22" s="28" t="s">
        <v>27</v>
      </c>
      <c r="S22" s="24" t="s">
        <v>551</v>
      </c>
      <c r="T22" s="26" t="s">
        <v>551</v>
      </c>
      <c r="U22" s="26" t="s">
        <v>27</v>
      </c>
      <c r="V22" s="26" t="s">
        <v>27</v>
      </c>
      <c r="W22" s="26" t="s">
        <v>27</v>
      </c>
      <c r="X22" s="24" t="s">
        <v>551</v>
      </c>
      <c r="Y22" s="26" t="s">
        <v>27</v>
      </c>
      <c r="Z22" s="28" t="s">
        <v>27</v>
      </c>
      <c r="AA22" s="27" t="s">
        <v>551</v>
      </c>
      <c r="AB22" s="27" t="s">
        <v>27</v>
      </c>
      <c r="AC22" s="27" t="s">
        <v>27</v>
      </c>
      <c r="AD22" s="27" t="s">
        <v>27</v>
      </c>
    </row>
    <row r="23" spans="1:30" ht="30" x14ac:dyDescent="0.25">
      <c r="A23" s="23" t="s">
        <v>49</v>
      </c>
      <c r="B23" s="24">
        <v>1</v>
      </c>
      <c r="C23" s="24">
        <v>1</v>
      </c>
      <c r="D23" s="26" t="s">
        <v>26</v>
      </c>
      <c r="E23" s="24">
        <v>4</v>
      </c>
      <c r="F23" s="25" t="s">
        <v>27</v>
      </c>
      <c r="G23" s="25" t="s">
        <v>50</v>
      </c>
      <c r="H23" s="27" t="s">
        <v>27</v>
      </c>
      <c r="I23" s="25" t="s">
        <v>51</v>
      </c>
      <c r="J23" s="24" t="s">
        <v>27</v>
      </c>
      <c r="K23" s="24">
        <v>2</v>
      </c>
      <c r="L23" s="27" t="s">
        <v>27</v>
      </c>
      <c r="M23" s="27" t="s">
        <v>27</v>
      </c>
      <c r="N23" s="27" t="s">
        <v>27</v>
      </c>
      <c r="O23" s="27" t="s">
        <v>27</v>
      </c>
      <c r="P23" s="56" t="s">
        <v>27</v>
      </c>
      <c r="Q23" s="56" t="s">
        <v>27</v>
      </c>
      <c r="R23" s="28" t="s">
        <v>27</v>
      </c>
      <c r="S23" s="24" t="s">
        <v>27</v>
      </c>
      <c r="T23" s="24" t="s">
        <v>551</v>
      </c>
      <c r="U23" s="26" t="s">
        <v>27</v>
      </c>
      <c r="V23" s="26" t="s">
        <v>27</v>
      </c>
      <c r="W23" s="26" t="s">
        <v>27</v>
      </c>
      <c r="X23" s="26" t="s">
        <v>27</v>
      </c>
      <c r="Y23" s="26" t="s">
        <v>27</v>
      </c>
      <c r="Z23" s="28" t="s">
        <v>27</v>
      </c>
      <c r="AA23" s="28" t="s">
        <v>27</v>
      </c>
      <c r="AB23" s="28" t="s">
        <v>27</v>
      </c>
      <c r="AC23" s="28" t="s">
        <v>27</v>
      </c>
      <c r="AD23" s="28" t="s">
        <v>27</v>
      </c>
    </row>
    <row r="24" spans="1:30" ht="30" x14ac:dyDescent="0.25">
      <c r="A24" s="23" t="s">
        <v>54</v>
      </c>
      <c r="B24" s="24">
        <v>1</v>
      </c>
      <c r="C24" s="24">
        <v>1</v>
      </c>
      <c r="D24" s="26" t="s">
        <v>26</v>
      </c>
      <c r="E24" s="24">
        <v>4</v>
      </c>
      <c r="F24" s="25" t="s">
        <v>27</v>
      </c>
      <c r="G24" s="25" t="s">
        <v>55</v>
      </c>
      <c r="H24" s="28" t="s">
        <v>27</v>
      </c>
      <c r="I24" s="25" t="s">
        <v>544</v>
      </c>
      <c r="J24" s="26" t="s">
        <v>27</v>
      </c>
      <c r="K24" s="26" t="s">
        <v>27</v>
      </c>
      <c r="L24" s="28" t="s">
        <v>27</v>
      </c>
      <c r="M24" s="28" t="s">
        <v>27</v>
      </c>
      <c r="N24" s="28" t="s">
        <v>27</v>
      </c>
      <c r="O24" s="28" t="s">
        <v>27</v>
      </c>
      <c r="P24" s="56" t="s">
        <v>27</v>
      </c>
      <c r="Q24" s="56" t="s">
        <v>27</v>
      </c>
      <c r="R24" s="28" t="s">
        <v>27</v>
      </c>
      <c r="S24" s="24" t="s">
        <v>551</v>
      </c>
      <c r="T24" s="26" t="s">
        <v>27</v>
      </c>
      <c r="U24" s="26" t="s">
        <v>27</v>
      </c>
      <c r="V24" s="24" t="s">
        <v>551</v>
      </c>
      <c r="W24" s="26" t="s">
        <v>27</v>
      </c>
      <c r="X24" s="26" t="s">
        <v>27</v>
      </c>
      <c r="Y24" s="26" t="s">
        <v>27</v>
      </c>
      <c r="Z24" s="28" t="s">
        <v>27</v>
      </c>
      <c r="AA24" s="27" t="s">
        <v>27</v>
      </c>
      <c r="AB24" s="27" t="s">
        <v>27</v>
      </c>
      <c r="AC24" s="27" t="s">
        <v>551</v>
      </c>
      <c r="AD24" s="27" t="s">
        <v>27</v>
      </c>
    </row>
    <row r="25" spans="1:30" ht="30" x14ac:dyDescent="0.25">
      <c r="A25" s="1" t="s">
        <v>56</v>
      </c>
      <c r="B25" s="2">
        <v>2</v>
      </c>
      <c r="C25" s="2">
        <v>2</v>
      </c>
      <c r="D25" s="4" t="s">
        <v>26</v>
      </c>
      <c r="E25" s="2">
        <v>4</v>
      </c>
      <c r="F25" s="3" t="s">
        <v>27</v>
      </c>
      <c r="G25" s="3" t="s">
        <v>57</v>
      </c>
      <c r="H25" s="27" t="s">
        <v>27</v>
      </c>
      <c r="I25" s="3" t="s">
        <v>27</v>
      </c>
      <c r="J25" s="2">
        <v>2</v>
      </c>
      <c r="K25" s="2">
        <v>1</v>
      </c>
      <c r="L25" s="27" t="s">
        <v>27</v>
      </c>
      <c r="M25" s="27" t="s">
        <v>27</v>
      </c>
      <c r="N25" s="27" t="s">
        <v>27</v>
      </c>
      <c r="O25" s="27" t="s">
        <v>27</v>
      </c>
      <c r="P25" s="56" t="s">
        <v>27</v>
      </c>
      <c r="Q25" s="56" t="s">
        <v>27</v>
      </c>
      <c r="R25" s="27" t="s">
        <v>27</v>
      </c>
      <c r="S25" s="4" t="s">
        <v>27</v>
      </c>
      <c r="T25" s="4" t="s">
        <v>27</v>
      </c>
      <c r="U25" s="2" t="s">
        <v>551</v>
      </c>
      <c r="V25" s="4" t="s">
        <v>27</v>
      </c>
      <c r="W25" s="4" t="s">
        <v>27</v>
      </c>
      <c r="X25" s="4" t="s">
        <v>27</v>
      </c>
      <c r="Y25" s="4" t="s">
        <v>27</v>
      </c>
      <c r="Z25" s="27" t="s">
        <v>27</v>
      </c>
      <c r="AA25" s="6" t="s">
        <v>27</v>
      </c>
      <c r="AB25" s="6" t="s">
        <v>27</v>
      </c>
      <c r="AC25" s="6" t="s">
        <v>27</v>
      </c>
      <c r="AD25" s="6" t="s">
        <v>551</v>
      </c>
    </row>
    <row r="26" spans="1:30" ht="30" x14ac:dyDescent="0.25">
      <c r="A26" s="1" t="s">
        <v>61</v>
      </c>
      <c r="B26" s="2">
        <v>1</v>
      </c>
      <c r="C26" s="2">
        <v>1</v>
      </c>
      <c r="D26" s="4" t="s">
        <v>26</v>
      </c>
      <c r="E26" s="2">
        <v>4</v>
      </c>
      <c r="F26" s="3" t="s">
        <v>27</v>
      </c>
      <c r="G26" s="3" t="s">
        <v>62</v>
      </c>
      <c r="H26" s="28" t="s">
        <v>27</v>
      </c>
      <c r="I26" s="3" t="s">
        <v>63</v>
      </c>
      <c r="J26" s="4" t="s">
        <v>27</v>
      </c>
      <c r="K26" s="4" t="s">
        <v>27</v>
      </c>
      <c r="L26" s="28" t="s">
        <v>27</v>
      </c>
      <c r="M26" s="28" t="s">
        <v>27</v>
      </c>
      <c r="N26" s="28" t="s">
        <v>27</v>
      </c>
      <c r="O26" s="28" t="s">
        <v>27</v>
      </c>
      <c r="P26" s="56" t="s">
        <v>27</v>
      </c>
      <c r="Q26" s="56" t="s">
        <v>27</v>
      </c>
      <c r="R26" s="28" t="s">
        <v>27</v>
      </c>
      <c r="S26" s="2" t="s">
        <v>551</v>
      </c>
      <c r="T26" s="4" t="s">
        <v>27</v>
      </c>
      <c r="U26" s="4" t="s">
        <v>27</v>
      </c>
      <c r="V26" s="4" t="s">
        <v>27</v>
      </c>
      <c r="W26" s="4" t="s">
        <v>27</v>
      </c>
      <c r="X26" s="4" t="s">
        <v>27</v>
      </c>
      <c r="Y26" s="4" t="s">
        <v>27</v>
      </c>
      <c r="Z26" s="28" t="s">
        <v>27</v>
      </c>
      <c r="AA26" s="6" t="s">
        <v>27</v>
      </c>
      <c r="AB26" s="6" t="s">
        <v>551</v>
      </c>
      <c r="AC26" s="6" t="s">
        <v>27</v>
      </c>
      <c r="AD26" s="6" t="s">
        <v>27</v>
      </c>
    </row>
    <row r="27" spans="1:30" ht="30" x14ac:dyDescent="0.25">
      <c r="A27" s="23" t="s">
        <v>66</v>
      </c>
      <c r="B27" s="24">
        <v>2</v>
      </c>
      <c r="C27" s="24">
        <v>2</v>
      </c>
      <c r="D27" s="26" t="s">
        <v>26</v>
      </c>
      <c r="E27" s="24">
        <v>4</v>
      </c>
      <c r="F27" s="25" t="s">
        <v>27</v>
      </c>
      <c r="G27" s="25" t="s">
        <v>67</v>
      </c>
      <c r="H27" s="27" t="s">
        <v>27</v>
      </c>
      <c r="I27" s="25" t="s">
        <v>68</v>
      </c>
      <c r="J27" s="26" t="s">
        <v>27</v>
      </c>
      <c r="K27" s="24">
        <v>3</v>
      </c>
      <c r="L27" s="27" t="s">
        <v>27</v>
      </c>
      <c r="M27" s="27" t="s">
        <v>27</v>
      </c>
      <c r="N27" s="27" t="s">
        <v>551</v>
      </c>
      <c r="O27" s="27" t="s">
        <v>27</v>
      </c>
      <c r="P27" s="56" t="s">
        <v>27</v>
      </c>
      <c r="Q27" s="56" t="s">
        <v>27</v>
      </c>
      <c r="R27" s="28" t="s">
        <v>27</v>
      </c>
      <c r="S27" s="26" t="s">
        <v>27</v>
      </c>
      <c r="T27" s="24" t="s">
        <v>551</v>
      </c>
      <c r="U27" s="24" t="s">
        <v>551</v>
      </c>
      <c r="V27" s="26" t="s">
        <v>27</v>
      </c>
      <c r="W27" s="26" t="s">
        <v>27</v>
      </c>
      <c r="X27" s="26" t="s">
        <v>27</v>
      </c>
      <c r="Y27" s="26" t="s">
        <v>27</v>
      </c>
      <c r="Z27" s="28" t="s">
        <v>27</v>
      </c>
      <c r="AA27" s="28" t="s">
        <v>27</v>
      </c>
      <c r="AB27" s="28" t="s">
        <v>27</v>
      </c>
      <c r="AC27" s="28" t="s">
        <v>27</v>
      </c>
      <c r="AD27" s="28" t="s">
        <v>27</v>
      </c>
    </row>
    <row r="28" spans="1:30" ht="30" x14ac:dyDescent="0.25">
      <c r="A28" s="23" t="s">
        <v>85</v>
      </c>
      <c r="B28" s="24">
        <v>1</v>
      </c>
      <c r="C28" s="24">
        <v>1</v>
      </c>
      <c r="D28" s="26" t="s">
        <v>26</v>
      </c>
      <c r="E28" s="24">
        <v>4</v>
      </c>
      <c r="F28" s="25" t="s">
        <v>27</v>
      </c>
      <c r="G28" s="25" t="s">
        <v>86</v>
      </c>
      <c r="H28" s="28" t="s">
        <v>29</v>
      </c>
      <c r="I28" s="25" t="s">
        <v>27</v>
      </c>
      <c r="J28" s="24">
        <v>2</v>
      </c>
      <c r="K28" s="26" t="s">
        <v>27</v>
      </c>
      <c r="L28" s="28" t="s">
        <v>27</v>
      </c>
      <c r="M28" s="28" t="s">
        <v>27</v>
      </c>
      <c r="N28" s="28" t="s">
        <v>27</v>
      </c>
      <c r="O28" s="28" t="s">
        <v>27</v>
      </c>
      <c r="P28" s="56" t="s">
        <v>27</v>
      </c>
      <c r="Q28" s="56" t="s">
        <v>27</v>
      </c>
      <c r="R28" s="28" t="s">
        <v>27</v>
      </c>
      <c r="S28" s="26" t="s">
        <v>27</v>
      </c>
      <c r="T28" s="24" t="s">
        <v>551</v>
      </c>
      <c r="U28" s="24" t="s">
        <v>551</v>
      </c>
      <c r="V28" s="26" t="s">
        <v>27</v>
      </c>
      <c r="W28" s="26" t="s">
        <v>27</v>
      </c>
      <c r="X28" s="26" t="s">
        <v>27</v>
      </c>
      <c r="Y28" s="26" t="s">
        <v>27</v>
      </c>
      <c r="Z28" s="28" t="s">
        <v>27</v>
      </c>
      <c r="AA28" s="27" t="s">
        <v>551</v>
      </c>
      <c r="AB28" s="27" t="s">
        <v>27</v>
      </c>
      <c r="AC28" s="27" t="s">
        <v>27</v>
      </c>
      <c r="AD28" s="27" t="s">
        <v>27</v>
      </c>
    </row>
    <row r="29" spans="1:30" ht="30" x14ac:dyDescent="0.25">
      <c r="A29" s="23" t="s">
        <v>101</v>
      </c>
      <c r="B29" s="24">
        <v>1</v>
      </c>
      <c r="C29" s="24">
        <v>1</v>
      </c>
      <c r="D29" s="26" t="s">
        <v>26</v>
      </c>
      <c r="E29" s="24">
        <v>4</v>
      </c>
      <c r="F29" s="25" t="s">
        <v>27</v>
      </c>
      <c r="G29" s="25" t="s">
        <v>53</v>
      </c>
      <c r="H29" s="28" t="s">
        <v>27</v>
      </c>
      <c r="I29" s="25" t="s">
        <v>27</v>
      </c>
      <c r="J29" s="26" t="s">
        <v>27</v>
      </c>
      <c r="K29" s="26" t="s">
        <v>27</v>
      </c>
      <c r="L29" s="60" t="s">
        <v>446</v>
      </c>
      <c r="M29" s="28" t="s">
        <v>27</v>
      </c>
      <c r="N29" s="28" t="s">
        <v>27</v>
      </c>
      <c r="O29" s="28" t="s">
        <v>27</v>
      </c>
      <c r="P29" s="56" t="s">
        <v>27</v>
      </c>
      <c r="Q29" s="56" t="s">
        <v>27</v>
      </c>
      <c r="R29" s="28" t="s">
        <v>27</v>
      </c>
      <c r="S29" s="26" t="s">
        <v>27</v>
      </c>
      <c r="T29" s="26" t="s">
        <v>27</v>
      </c>
      <c r="U29" s="26" t="s">
        <v>27</v>
      </c>
      <c r="V29" s="26" t="s">
        <v>27</v>
      </c>
      <c r="W29" s="26" t="s">
        <v>27</v>
      </c>
      <c r="X29" s="24" t="s">
        <v>551</v>
      </c>
      <c r="Y29" s="24" t="s">
        <v>551</v>
      </c>
      <c r="Z29" s="28" t="s">
        <v>27</v>
      </c>
      <c r="AA29" s="28" t="s">
        <v>551</v>
      </c>
      <c r="AB29" s="28" t="s">
        <v>27</v>
      </c>
      <c r="AC29" s="28" t="s">
        <v>27</v>
      </c>
      <c r="AD29" s="28" t="s">
        <v>551</v>
      </c>
    </row>
    <row r="30" spans="1:30" ht="30" x14ac:dyDescent="0.25">
      <c r="A30" s="23" t="s">
        <v>102</v>
      </c>
      <c r="B30" s="24">
        <v>2</v>
      </c>
      <c r="C30" s="24">
        <v>2</v>
      </c>
      <c r="D30" s="26" t="s">
        <v>26</v>
      </c>
      <c r="E30" s="24">
        <v>4</v>
      </c>
      <c r="F30" s="25" t="s">
        <v>27</v>
      </c>
      <c r="G30" s="25" t="s">
        <v>103</v>
      </c>
      <c r="H30" s="28" t="s">
        <v>27</v>
      </c>
      <c r="I30" s="25" t="s">
        <v>39</v>
      </c>
      <c r="J30" s="24">
        <v>1</v>
      </c>
      <c r="K30" s="26" t="s">
        <v>27</v>
      </c>
      <c r="L30" s="28" t="s">
        <v>27</v>
      </c>
      <c r="M30" s="28" t="s">
        <v>27</v>
      </c>
      <c r="N30" s="28" t="s">
        <v>27</v>
      </c>
      <c r="O30" s="28" t="s">
        <v>27</v>
      </c>
      <c r="P30" s="56" t="s">
        <v>27</v>
      </c>
      <c r="Q30" s="56" t="s">
        <v>27</v>
      </c>
      <c r="R30" s="28" t="s">
        <v>27</v>
      </c>
      <c r="S30" s="26" t="s">
        <v>27</v>
      </c>
      <c r="T30" s="26" t="s">
        <v>27</v>
      </c>
      <c r="U30" s="24" t="s">
        <v>551</v>
      </c>
      <c r="V30" s="26" t="s">
        <v>27</v>
      </c>
      <c r="W30" s="26" t="s">
        <v>27</v>
      </c>
      <c r="X30" s="26" t="s">
        <v>27</v>
      </c>
      <c r="Y30" s="26" t="s">
        <v>27</v>
      </c>
      <c r="Z30" s="28" t="s">
        <v>27</v>
      </c>
      <c r="AA30" s="27" t="s">
        <v>27</v>
      </c>
      <c r="AB30" s="27" t="s">
        <v>551</v>
      </c>
      <c r="AC30" s="27" t="s">
        <v>27</v>
      </c>
      <c r="AD30" s="27" t="s">
        <v>27</v>
      </c>
    </row>
    <row r="31" spans="1:30" ht="30" x14ac:dyDescent="0.25">
      <c r="A31" s="23" t="s">
        <v>37</v>
      </c>
      <c r="B31" s="24">
        <v>1</v>
      </c>
      <c r="C31" s="24">
        <v>1</v>
      </c>
      <c r="D31" s="26" t="s">
        <v>26</v>
      </c>
      <c r="E31" s="24">
        <v>5</v>
      </c>
      <c r="F31" s="25" t="s">
        <v>27</v>
      </c>
      <c r="G31" s="25" t="s">
        <v>38</v>
      </c>
      <c r="H31" s="28" t="s">
        <v>27</v>
      </c>
      <c r="I31" s="25" t="s">
        <v>39</v>
      </c>
      <c r="J31" s="24">
        <v>1</v>
      </c>
      <c r="K31" s="26" t="s">
        <v>27</v>
      </c>
      <c r="L31" s="28" t="s">
        <v>27</v>
      </c>
      <c r="M31" s="28" t="s">
        <v>27</v>
      </c>
      <c r="N31" s="28" t="s">
        <v>27</v>
      </c>
      <c r="O31" s="28" t="s">
        <v>27</v>
      </c>
      <c r="P31" s="56" t="s">
        <v>27</v>
      </c>
      <c r="Q31" s="56" t="s">
        <v>27</v>
      </c>
      <c r="R31" s="27" t="s">
        <v>27</v>
      </c>
      <c r="S31" s="26" t="s">
        <v>27</v>
      </c>
      <c r="T31" s="26" t="s">
        <v>27</v>
      </c>
      <c r="U31" s="24" t="s">
        <v>551</v>
      </c>
      <c r="V31" s="26" t="s">
        <v>27</v>
      </c>
      <c r="W31" s="26" t="s">
        <v>27</v>
      </c>
      <c r="X31" s="26" t="s">
        <v>27</v>
      </c>
      <c r="Y31" s="26" t="s">
        <v>27</v>
      </c>
      <c r="Z31" s="27" t="s">
        <v>27</v>
      </c>
      <c r="AA31" s="28" t="s">
        <v>27</v>
      </c>
      <c r="AB31" s="28" t="s">
        <v>27</v>
      </c>
      <c r="AC31" s="28" t="s">
        <v>27</v>
      </c>
      <c r="AD31" s="28" t="s">
        <v>27</v>
      </c>
    </row>
    <row r="32" spans="1:30" ht="30" x14ac:dyDescent="0.25">
      <c r="A32" s="23" t="s">
        <v>40</v>
      </c>
      <c r="B32" s="24">
        <v>1</v>
      </c>
      <c r="C32" s="24">
        <v>1</v>
      </c>
      <c r="D32" s="26" t="s">
        <v>26</v>
      </c>
      <c r="E32" s="24">
        <v>5</v>
      </c>
      <c r="F32" s="25" t="s">
        <v>41</v>
      </c>
      <c r="G32" s="25" t="s">
        <v>27</v>
      </c>
      <c r="H32" s="28" t="s">
        <v>27</v>
      </c>
      <c r="I32" s="25" t="s">
        <v>42</v>
      </c>
      <c r="J32" s="24">
        <v>2</v>
      </c>
      <c r="K32" s="26" t="s">
        <v>27</v>
      </c>
      <c r="L32" s="28" t="s">
        <v>27</v>
      </c>
      <c r="M32" s="28" t="s">
        <v>27</v>
      </c>
      <c r="N32" s="28" t="s">
        <v>27</v>
      </c>
      <c r="O32" s="28" t="s">
        <v>27</v>
      </c>
      <c r="P32" s="56" t="s">
        <v>27</v>
      </c>
      <c r="Q32" s="56" t="s">
        <v>27</v>
      </c>
      <c r="R32" s="28" t="s">
        <v>27</v>
      </c>
      <c r="S32" s="26" t="s">
        <v>27</v>
      </c>
      <c r="T32" s="24" t="s">
        <v>551</v>
      </c>
      <c r="U32" s="24" t="s">
        <v>551</v>
      </c>
      <c r="V32" s="26" t="s">
        <v>27</v>
      </c>
      <c r="W32" s="26" t="s">
        <v>27</v>
      </c>
      <c r="X32" s="26" t="s">
        <v>27</v>
      </c>
      <c r="Y32" s="24" t="s">
        <v>551</v>
      </c>
      <c r="Z32" s="28" t="s">
        <v>27</v>
      </c>
      <c r="AA32" s="27" t="s">
        <v>27</v>
      </c>
      <c r="AB32" s="27" t="s">
        <v>27</v>
      </c>
      <c r="AC32" s="27" t="s">
        <v>27</v>
      </c>
      <c r="AD32" s="27" t="s">
        <v>551</v>
      </c>
    </row>
    <row r="33" spans="1:30" ht="30" x14ac:dyDescent="0.25">
      <c r="A33" s="1" t="s">
        <v>79</v>
      </c>
      <c r="B33" s="2">
        <v>1</v>
      </c>
      <c r="C33" s="2">
        <v>1</v>
      </c>
      <c r="D33" s="4" t="s">
        <v>26</v>
      </c>
      <c r="E33" s="2">
        <v>5</v>
      </c>
      <c r="F33" s="3" t="s">
        <v>80</v>
      </c>
      <c r="G33" s="3" t="s">
        <v>27</v>
      </c>
      <c r="H33" s="28" t="s">
        <v>27</v>
      </c>
      <c r="I33" s="3" t="s">
        <v>81</v>
      </c>
      <c r="J33" s="4" t="s">
        <v>27</v>
      </c>
      <c r="K33" s="4" t="s">
        <v>27</v>
      </c>
      <c r="L33" s="60" t="s">
        <v>29</v>
      </c>
      <c r="M33" s="28" t="s">
        <v>27</v>
      </c>
      <c r="N33" s="28" t="s">
        <v>27</v>
      </c>
      <c r="O33" s="28" t="s">
        <v>27</v>
      </c>
      <c r="P33" s="56" t="s">
        <v>27</v>
      </c>
      <c r="Q33" s="56" t="s">
        <v>27</v>
      </c>
      <c r="R33" s="28" t="s">
        <v>27</v>
      </c>
      <c r="S33" s="4" t="s">
        <v>27</v>
      </c>
      <c r="T33" s="2" t="s">
        <v>551</v>
      </c>
      <c r="U33" s="4" t="s">
        <v>27</v>
      </c>
      <c r="V33" s="4" t="s">
        <v>27</v>
      </c>
      <c r="W33" s="4" t="s">
        <v>27</v>
      </c>
      <c r="X33" s="4" t="s">
        <v>27</v>
      </c>
      <c r="Y33" s="2" t="s">
        <v>551</v>
      </c>
      <c r="Z33" s="28" t="s">
        <v>27</v>
      </c>
      <c r="AA33" s="5" t="s">
        <v>27</v>
      </c>
      <c r="AB33" s="5" t="s">
        <v>27</v>
      </c>
      <c r="AC33" s="5" t="s">
        <v>551</v>
      </c>
      <c r="AD33" s="5" t="s">
        <v>551</v>
      </c>
    </row>
    <row r="34" spans="1:30" ht="30" x14ac:dyDescent="0.25">
      <c r="A34" s="1" t="s">
        <v>87</v>
      </c>
      <c r="B34" s="2">
        <v>1</v>
      </c>
      <c r="C34" s="2">
        <v>1</v>
      </c>
      <c r="D34" s="4" t="s">
        <v>26</v>
      </c>
      <c r="E34" s="2">
        <v>5</v>
      </c>
      <c r="F34" s="3" t="s">
        <v>27</v>
      </c>
      <c r="G34" s="3" t="s">
        <v>88</v>
      </c>
      <c r="H34" s="27" t="s">
        <v>27</v>
      </c>
      <c r="I34" s="3" t="s">
        <v>27</v>
      </c>
      <c r="J34" s="2">
        <v>3</v>
      </c>
      <c r="K34" s="2">
        <v>1</v>
      </c>
      <c r="L34" s="27" t="s">
        <v>27</v>
      </c>
      <c r="M34" s="27" t="s">
        <v>27</v>
      </c>
      <c r="N34" s="27" t="s">
        <v>27</v>
      </c>
      <c r="O34" s="27" t="s">
        <v>27</v>
      </c>
      <c r="P34" s="56" t="s">
        <v>27</v>
      </c>
      <c r="Q34" s="56" t="s">
        <v>27</v>
      </c>
      <c r="R34" s="28" t="s">
        <v>27</v>
      </c>
      <c r="S34" s="2" t="s">
        <v>551</v>
      </c>
      <c r="T34" s="2" t="s">
        <v>551</v>
      </c>
      <c r="U34" s="4" t="s">
        <v>27</v>
      </c>
      <c r="V34" s="4" t="s">
        <v>27</v>
      </c>
      <c r="W34" s="4" t="s">
        <v>27</v>
      </c>
      <c r="X34" s="4" t="s">
        <v>27</v>
      </c>
      <c r="Y34" s="4" t="s">
        <v>27</v>
      </c>
      <c r="Z34" s="28" t="s">
        <v>27</v>
      </c>
      <c r="AA34" s="5" t="s">
        <v>27</v>
      </c>
      <c r="AB34" s="5" t="s">
        <v>27</v>
      </c>
      <c r="AC34" s="5" t="s">
        <v>27</v>
      </c>
      <c r="AD34" s="5" t="s">
        <v>27</v>
      </c>
    </row>
    <row r="35" spans="1:30" ht="45" x14ac:dyDescent="0.25">
      <c r="A35" s="1" t="s">
        <v>89</v>
      </c>
      <c r="B35" s="2">
        <v>3</v>
      </c>
      <c r="C35" s="2">
        <v>3</v>
      </c>
      <c r="D35" s="4" t="s">
        <v>26</v>
      </c>
      <c r="E35" s="2">
        <v>5</v>
      </c>
      <c r="F35" s="3" t="s">
        <v>27</v>
      </c>
      <c r="G35" s="3" t="s">
        <v>90</v>
      </c>
      <c r="H35" s="28" t="s">
        <v>27</v>
      </c>
      <c r="I35" s="3" t="s">
        <v>27</v>
      </c>
      <c r="J35" s="4" t="s">
        <v>27</v>
      </c>
      <c r="K35" s="4" t="s">
        <v>27</v>
      </c>
      <c r="L35" s="60" t="s">
        <v>27</v>
      </c>
      <c r="M35" s="28" t="s">
        <v>27</v>
      </c>
      <c r="N35" s="28" t="s">
        <v>27</v>
      </c>
      <c r="O35" s="28" t="s">
        <v>27</v>
      </c>
      <c r="P35" s="56" t="s">
        <v>27</v>
      </c>
      <c r="Q35" s="56" t="s">
        <v>27</v>
      </c>
      <c r="R35" s="28" t="s">
        <v>27</v>
      </c>
      <c r="S35" s="4" t="s">
        <v>27</v>
      </c>
      <c r="T35" s="4" t="s">
        <v>27</v>
      </c>
      <c r="U35" s="4" t="s">
        <v>27</v>
      </c>
      <c r="V35" s="2" t="s">
        <v>551</v>
      </c>
      <c r="W35" s="2" t="s">
        <v>551</v>
      </c>
      <c r="X35" s="2" t="s">
        <v>551</v>
      </c>
      <c r="Y35" s="2" t="s">
        <v>551</v>
      </c>
      <c r="Z35" s="28" t="s">
        <v>27</v>
      </c>
      <c r="AA35" s="5" t="s">
        <v>27</v>
      </c>
      <c r="AB35" s="5" t="s">
        <v>27</v>
      </c>
      <c r="AC35" s="5" t="s">
        <v>27</v>
      </c>
      <c r="AD35" s="5" t="s">
        <v>27</v>
      </c>
    </row>
    <row r="36" spans="1:30" ht="30" x14ac:dyDescent="0.25">
      <c r="A36" s="1" t="s">
        <v>94</v>
      </c>
      <c r="B36" s="2">
        <v>2</v>
      </c>
      <c r="C36" s="2">
        <v>2</v>
      </c>
      <c r="D36" s="4" t="s">
        <v>26</v>
      </c>
      <c r="E36" s="2">
        <v>5</v>
      </c>
      <c r="F36" s="3" t="s">
        <v>27</v>
      </c>
      <c r="G36" s="3" t="s">
        <v>95</v>
      </c>
      <c r="H36" s="28" t="s">
        <v>27</v>
      </c>
      <c r="I36" s="3" t="s">
        <v>96</v>
      </c>
      <c r="J36" s="2">
        <v>1</v>
      </c>
      <c r="K36" s="4" t="s">
        <v>27</v>
      </c>
      <c r="L36" s="28" t="s">
        <v>27</v>
      </c>
      <c r="M36" s="28" t="s">
        <v>27</v>
      </c>
      <c r="N36" s="28" t="s">
        <v>27</v>
      </c>
      <c r="O36" s="28" t="s">
        <v>27</v>
      </c>
      <c r="P36" s="56" t="s">
        <v>27</v>
      </c>
      <c r="Q36" s="56" t="s">
        <v>27</v>
      </c>
      <c r="R36" s="28" t="s">
        <v>27</v>
      </c>
      <c r="S36" s="2" t="s">
        <v>551</v>
      </c>
      <c r="T36" s="4" t="s">
        <v>27</v>
      </c>
      <c r="U36" s="4" t="s">
        <v>27</v>
      </c>
      <c r="V36" s="2" t="s">
        <v>551</v>
      </c>
      <c r="W36" s="4" t="s">
        <v>27</v>
      </c>
      <c r="X36" s="4" t="s">
        <v>27</v>
      </c>
      <c r="Y36" s="4" t="s">
        <v>27</v>
      </c>
      <c r="Z36" s="28" t="s">
        <v>27</v>
      </c>
      <c r="AA36" s="6" t="s">
        <v>27</v>
      </c>
      <c r="AB36" s="6" t="s">
        <v>27</v>
      </c>
      <c r="AC36" s="6" t="s">
        <v>551</v>
      </c>
      <c r="AD36" s="6" t="s">
        <v>27</v>
      </c>
    </row>
    <row r="37" spans="1:30" ht="30" x14ac:dyDescent="0.25">
      <c r="A37" s="1" t="s">
        <v>108</v>
      </c>
      <c r="B37" s="2">
        <v>1</v>
      </c>
      <c r="C37" s="2">
        <v>1</v>
      </c>
      <c r="D37" s="4" t="s">
        <v>26</v>
      </c>
      <c r="E37" s="2">
        <v>5</v>
      </c>
      <c r="F37" s="3" t="s">
        <v>27</v>
      </c>
      <c r="G37" s="3" t="s">
        <v>51</v>
      </c>
      <c r="H37" s="27" t="s">
        <v>27</v>
      </c>
      <c r="I37" s="3" t="s">
        <v>27</v>
      </c>
      <c r="J37" s="2">
        <v>2</v>
      </c>
      <c r="K37" s="2">
        <v>3</v>
      </c>
      <c r="L37" s="27" t="s">
        <v>27</v>
      </c>
      <c r="M37" s="27" t="s">
        <v>27</v>
      </c>
      <c r="N37" s="27" t="s">
        <v>27</v>
      </c>
      <c r="O37" s="27" t="s">
        <v>27</v>
      </c>
      <c r="P37" s="56" t="s">
        <v>27</v>
      </c>
      <c r="Q37" s="56" t="s">
        <v>27</v>
      </c>
      <c r="R37" s="28" t="s">
        <v>27</v>
      </c>
      <c r="S37" s="4" t="s">
        <v>27</v>
      </c>
      <c r="T37" s="2" t="s">
        <v>551</v>
      </c>
      <c r="U37" s="2" t="s">
        <v>551</v>
      </c>
      <c r="V37" s="4" t="s">
        <v>27</v>
      </c>
      <c r="W37" s="4" t="s">
        <v>27</v>
      </c>
      <c r="X37" s="4" t="s">
        <v>27</v>
      </c>
      <c r="Y37" s="2" t="s">
        <v>551</v>
      </c>
      <c r="Z37" s="28" t="s">
        <v>27</v>
      </c>
      <c r="AA37" s="6" t="s">
        <v>27</v>
      </c>
      <c r="AB37" s="6" t="s">
        <v>27</v>
      </c>
      <c r="AC37" s="6" t="s">
        <v>27</v>
      </c>
      <c r="AD37" s="6" t="s">
        <v>551</v>
      </c>
    </row>
    <row r="38" spans="1:30" ht="30" x14ac:dyDescent="0.25">
      <c r="A38" s="1" t="s">
        <v>113</v>
      </c>
      <c r="B38" s="2">
        <v>1</v>
      </c>
      <c r="C38" s="2">
        <v>1</v>
      </c>
      <c r="D38" s="4" t="s">
        <v>26</v>
      </c>
      <c r="E38" s="2">
        <v>5</v>
      </c>
      <c r="F38" s="3" t="s">
        <v>27</v>
      </c>
      <c r="G38" s="3" t="s">
        <v>34</v>
      </c>
      <c r="H38" s="28" t="s">
        <v>27</v>
      </c>
      <c r="I38" s="3" t="s">
        <v>88</v>
      </c>
      <c r="J38" s="2">
        <v>1</v>
      </c>
      <c r="K38" s="4" t="s">
        <v>27</v>
      </c>
      <c r="L38" s="28" t="s">
        <v>27</v>
      </c>
      <c r="M38" s="28" t="s">
        <v>27</v>
      </c>
      <c r="N38" s="28" t="s">
        <v>27</v>
      </c>
      <c r="O38" s="28" t="s">
        <v>27</v>
      </c>
      <c r="P38" s="56" t="s">
        <v>27</v>
      </c>
      <c r="Q38" s="56" t="s">
        <v>27</v>
      </c>
      <c r="R38" s="28" t="s">
        <v>27</v>
      </c>
      <c r="S38" s="4" t="s">
        <v>27</v>
      </c>
      <c r="T38" s="2" t="s">
        <v>551</v>
      </c>
      <c r="U38" s="2" t="s">
        <v>551</v>
      </c>
      <c r="V38" s="2" t="s">
        <v>551</v>
      </c>
      <c r="W38" s="2" t="s">
        <v>551</v>
      </c>
      <c r="X38" s="2" t="s">
        <v>551</v>
      </c>
      <c r="Y38" s="2" t="s">
        <v>551</v>
      </c>
      <c r="Z38" s="28" t="s">
        <v>27</v>
      </c>
      <c r="AA38" s="5" t="s">
        <v>27</v>
      </c>
      <c r="AB38" s="5" t="s">
        <v>27</v>
      </c>
      <c r="AC38" s="5" t="s">
        <v>27</v>
      </c>
      <c r="AD38" s="5" t="s">
        <v>27</v>
      </c>
    </row>
    <row r="39" spans="1:30" ht="30" x14ac:dyDescent="0.25">
      <c r="A39" s="1" t="s">
        <v>69</v>
      </c>
      <c r="B39" s="2">
        <v>1</v>
      </c>
      <c r="C39" s="2">
        <v>1</v>
      </c>
      <c r="D39" s="4" t="s">
        <v>26</v>
      </c>
      <c r="E39" s="2">
        <v>6</v>
      </c>
      <c r="F39" s="3" t="s">
        <v>27</v>
      </c>
      <c r="G39" s="3" t="s">
        <v>70</v>
      </c>
      <c r="H39" s="28" t="s">
        <v>27</v>
      </c>
      <c r="I39" s="3" t="s">
        <v>71</v>
      </c>
      <c r="J39" s="2">
        <v>2</v>
      </c>
      <c r="K39" s="4" t="s">
        <v>27</v>
      </c>
      <c r="L39" s="28" t="s">
        <v>27</v>
      </c>
      <c r="M39" s="28" t="s">
        <v>27</v>
      </c>
      <c r="N39" s="28" t="s">
        <v>27</v>
      </c>
      <c r="O39" s="28" t="s">
        <v>27</v>
      </c>
      <c r="P39" s="56" t="s">
        <v>27</v>
      </c>
      <c r="Q39" s="56" t="s">
        <v>27</v>
      </c>
      <c r="R39" s="28" t="s">
        <v>27</v>
      </c>
      <c r="S39" s="4" t="s">
        <v>27</v>
      </c>
      <c r="T39" s="2" t="s">
        <v>551</v>
      </c>
      <c r="U39" s="4" t="s">
        <v>27</v>
      </c>
      <c r="V39" s="4" t="s">
        <v>27</v>
      </c>
      <c r="W39" s="4" t="s">
        <v>27</v>
      </c>
      <c r="X39" s="4" t="s">
        <v>27</v>
      </c>
      <c r="Y39" s="4" t="s">
        <v>27</v>
      </c>
      <c r="Z39" s="28" t="s">
        <v>27</v>
      </c>
      <c r="AA39" s="5" t="s">
        <v>27</v>
      </c>
      <c r="AB39" s="5" t="s">
        <v>27</v>
      </c>
      <c r="AC39" s="5" t="s">
        <v>27</v>
      </c>
      <c r="AD39" s="5" t="s">
        <v>27</v>
      </c>
    </row>
    <row r="40" spans="1:30" ht="30" x14ac:dyDescent="0.25">
      <c r="A40" s="1" t="s">
        <v>83</v>
      </c>
      <c r="B40" s="2">
        <v>1</v>
      </c>
      <c r="C40" s="2">
        <v>1</v>
      </c>
      <c r="D40" s="4" t="s">
        <v>26</v>
      </c>
      <c r="E40" s="2">
        <v>6</v>
      </c>
      <c r="F40" s="3" t="s">
        <v>27</v>
      </c>
      <c r="G40" s="3" t="s">
        <v>45</v>
      </c>
      <c r="H40" s="28" t="s">
        <v>27</v>
      </c>
      <c r="I40" s="3" t="s">
        <v>84</v>
      </c>
      <c r="J40" s="2">
        <v>1</v>
      </c>
      <c r="K40" s="4" t="s">
        <v>27</v>
      </c>
      <c r="L40" s="28" t="s">
        <v>27</v>
      </c>
      <c r="M40" s="28" t="s">
        <v>27</v>
      </c>
      <c r="N40" s="28" t="s">
        <v>27</v>
      </c>
      <c r="O40" s="28" t="s">
        <v>27</v>
      </c>
      <c r="P40" s="56" t="s">
        <v>27</v>
      </c>
      <c r="Q40" s="56" t="s">
        <v>27</v>
      </c>
      <c r="R40" s="27" t="s">
        <v>27</v>
      </c>
      <c r="S40" s="4" t="s">
        <v>27</v>
      </c>
      <c r="T40" s="4" t="s">
        <v>27</v>
      </c>
      <c r="U40" s="4" t="s">
        <v>27</v>
      </c>
      <c r="V40" s="2" t="s">
        <v>551</v>
      </c>
      <c r="W40" s="4" t="s">
        <v>27</v>
      </c>
      <c r="X40" s="4" t="s">
        <v>27</v>
      </c>
      <c r="Y40" s="4" t="s">
        <v>27</v>
      </c>
      <c r="Z40" s="27" t="s">
        <v>27</v>
      </c>
      <c r="AA40" s="6" t="s">
        <v>27</v>
      </c>
      <c r="AB40" s="6" t="s">
        <v>27</v>
      </c>
      <c r="AC40" s="6" t="s">
        <v>551</v>
      </c>
      <c r="AD40" s="6" t="s">
        <v>27</v>
      </c>
    </row>
    <row r="41" spans="1:30" ht="30" x14ac:dyDescent="0.25">
      <c r="A41" s="1" t="s">
        <v>91</v>
      </c>
      <c r="B41" s="2">
        <v>1</v>
      </c>
      <c r="C41" s="2">
        <v>1</v>
      </c>
      <c r="D41" s="4" t="s">
        <v>26</v>
      </c>
      <c r="E41" s="2">
        <v>6</v>
      </c>
      <c r="F41" s="3" t="s">
        <v>27</v>
      </c>
      <c r="G41" s="3" t="s">
        <v>27</v>
      </c>
      <c r="H41" s="28" t="s">
        <v>451</v>
      </c>
      <c r="I41" s="3" t="s">
        <v>92</v>
      </c>
      <c r="J41" s="2">
        <v>2</v>
      </c>
      <c r="K41" s="4" t="s">
        <v>27</v>
      </c>
      <c r="L41" s="28" t="s">
        <v>27</v>
      </c>
      <c r="M41" s="28" t="s">
        <v>27</v>
      </c>
      <c r="N41" s="28" t="s">
        <v>551</v>
      </c>
      <c r="O41" s="28" t="s">
        <v>27</v>
      </c>
      <c r="P41" s="56" t="s">
        <v>27</v>
      </c>
      <c r="Q41" s="56" t="s">
        <v>27</v>
      </c>
      <c r="R41" s="27" t="s">
        <v>27</v>
      </c>
      <c r="S41" s="4" t="s">
        <v>27</v>
      </c>
      <c r="T41" s="4" t="s">
        <v>27</v>
      </c>
      <c r="U41" s="4" t="s">
        <v>27</v>
      </c>
      <c r="V41" s="2" t="s">
        <v>551</v>
      </c>
      <c r="W41" s="2" t="s">
        <v>27</v>
      </c>
      <c r="X41" s="2" t="s">
        <v>551</v>
      </c>
      <c r="Y41" s="4" t="s">
        <v>27</v>
      </c>
      <c r="Z41" s="27" t="s">
        <v>27</v>
      </c>
      <c r="AA41" s="5" t="s">
        <v>551</v>
      </c>
      <c r="AB41" s="5" t="s">
        <v>27</v>
      </c>
      <c r="AC41" s="5" t="s">
        <v>551</v>
      </c>
      <c r="AD41" s="5" t="s">
        <v>27</v>
      </c>
    </row>
    <row r="42" spans="1:30" ht="30" x14ac:dyDescent="0.25">
      <c r="A42" s="1" t="s">
        <v>114</v>
      </c>
      <c r="B42" s="2">
        <v>2</v>
      </c>
      <c r="C42" s="2">
        <v>2</v>
      </c>
      <c r="D42" s="4" t="s">
        <v>26</v>
      </c>
      <c r="E42" s="2">
        <v>6</v>
      </c>
      <c r="F42" s="3" t="s">
        <v>27</v>
      </c>
      <c r="G42" s="3" t="s">
        <v>92</v>
      </c>
      <c r="H42" s="28" t="s">
        <v>27</v>
      </c>
      <c r="I42" s="3" t="s">
        <v>115</v>
      </c>
      <c r="J42" s="4" t="s">
        <v>27</v>
      </c>
      <c r="K42" s="4" t="s">
        <v>27</v>
      </c>
      <c r="L42" s="28" t="s">
        <v>27</v>
      </c>
      <c r="M42" s="28" t="s">
        <v>27</v>
      </c>
      <c r="N42" s="28" t="s">
        <v>27</v>
      </c>
      <c r="O42" s="28" t="s">
        <v>27</v>
      </c>
      <c r="P42" s="56" t="s">
        <v>27</v>
      </c>
      <c r="Q42" s="56" t="s">
        <v>27</v>
      </c>
      <c r="R42" s="28" t="s">
        <v>27</v>
      </c>
      <c r="S42" s="4" t="s">
        <v>27</v>
      </c>
      <c r="T42" s="2" t="s">
        <v>551</v>
      </c>
      <c r="U42" s="2" t="s">
        <v>551</v>
      </c>
      <c r="V42" s="4" t="s">
        <v>27</v>
      </c>
      <c r="W42" s="4" t="s">
        <v>27</v>
      </c>
      <c r="X42" s="4" t="s">
        <v>27</v>
      </c>
      <c r="Y42" s="4" t="s">
        <v>27</v>
      </c>
      <c r="Z42" s="28" t="s">
        <v>27</v>
      </c>
      <c r="AA42" s="6" t="s">
        <v>27</v>
      </c>
      <c r="AB42" s="6" t="s">
        <v>27</v>
      </c>
      <c r="AC42" s="6" t="s">
        <v>27</v>
      </c>
      <c r="AD42" s="6" t="s">
        <v>551</v>
      </c>
    </row>
    <row r="43" spans="1:30" ht="30" x14ac:dyDescent="0.25">
      <c r="A43" s="1" t="s">
        <v>76</v>
      </c>
      <c r="B43" s="2">
        <v>1</v>
      </c>
      <c r="C43" s="2">
        <v>1</v>
      </c>
      <c r="D43" s="4" t="s">
        <v>26</v>
      </c>
      <c r="E43" s="2">
        <v>7</v>
      </c>
      <c r="F43" s="3" t="s">
        <v>77</v>
      </c>
      <c r="G43" s="3" t="s">
        <v>78</v>
      </c>
      <c r="H43" s="27" t="s">
        <v>27</v>
      </c>
      <c r="I43" s="3" t="s">
        <v>27</v>
      </c>
      <c r="J43" s="2">
        <v>3</v>
      </c>
      <c r="K43" s="2">
        <v>1</v>
      </c>
      <c r="L43" s="27" t="s">
        <v>27</v>
      </c>
      <c r="M43" s="27" t="s">
        <v>27</v>
      </c>
      <c r="N43" s="27" t="s">
        <v>27</v>
      </c>
      <c r="O43" s="27" t="s">
        <v>27</v>
      </c>
      <c r="P43" s="56" t="s">
        <v>27</v>
      </c>
      <c r="Q43" s="56" t="s">
        <v>27</v>
      </c>
      <c r="R43" s="28" t="s">
        <v>27</v>
      </c>
      <c r="S43" s="2" t="s">
        <v>551</v>
      </c>
      <c r="T43" s="2" t="s">
        <v>551</v>
      </c>
      <c r="U43" s="2" t="s">
        <v>551</v>
      </c>
      <c r="V43" s="4" t="s">
        <v>27</v>
      </c>
      <c r="W43" s="4" t="s">
        <v>27</v>
      </c>
      <c r="X43" s="2" t="s">
        <v>551</v>
      </c>
      <c r="Y43" s="4" t="s">
        <v>27</v>
      </c>
      <c r="Z43" s="28" t="s">
        <v>27</v>
      </c>
      <c r="AA43" s="6" t="s">
        <v>551</v>
      </c>
      <c r="AB43" s="6" t="s">
        <v>27</v>
      </c>
      <c r="AC43" s="6" t="s">
        <v>27</v>
      </c>
      <c r="AD43" s="6" t="s">
        <v>27</v>
      </c>
    </row>
    <row r="44" spans="1:30" ht="30" x14ac:dyDescent="0.25">
      <c r="A44" s="55" t="s">
        <v>43</v>
      </c>
      <c r="B44" s="2">
        <v>1</v>
      </c>
      <c r="C44" s="2">
        <v>1</v>
      </c>
      <c r="D44" s="4" t="s">
        <v>26</v>
      </c>
      <c r="E44" s="2">
        <v>8</v>
      </c>
      <c r="F44" s="3" t="s">
        <v>44</v>
      </c>
      <c r="G44" s="3" t="s">
        <v>27</v>
      </c>
      <c r="H44" s="28" t="s">
        <v>27</v>
      </c>
      <c r="I44" s="3" t="s">
        <v>45</v>
      </c>
      <c r="J44" s="4" t="s">
        <v>27</v>
      </c>
      <c r="K44" s="4" t="s">
        <v>27</v>
      </c>
      <c r="L44" s="28" t="s">
        <v>27</v>
      </c>
      <c r="M44" s="28" t="s">
        <v>27</v>
      </c>
      <c r="N44" s="28" t="s">
        <v>27</v>
      </c>
      <c r="O44" s="28" t="s">
        <v>27</v>
      </c>
      <c r="P44" s="56" t="s">
        <v>27</v>
      </c>
      <c r="Q44" s="56" t="s">
        <v>27</v>
      </c>
      <c r="R44" s="28" t="s">
        <v>27</v>
      </c>
      <c r="S44" s="4" t="s">
        <v>27</v>
      </c>
      <c r="T44" s="4" t="s">
        <v>27</v>
      </c>
      <c r="U44" s="4" t="s">
        <v>27</v>
      </c>
      <c r="V44" s="4" t="s">
        <v>27</v>
      </c>
      <c r="W44" s="4" t="s">
        <v>27</v>
      </c>
      <c r="X44" s="4" t="s">
        <v>27</v>
      </c>
      <c r="Y44" s="4" t="s">
        <v>27</v>
      </c>
      <c r="Z44" s="28" t="s">
        <v>27</v>
      </c>
      <c r="AA44" s="5" t="s">
        <v>27</v>
      </c>
      <c r="AB44" s="5" t="s">
        <v>27</v>
      </c>
      <c r="AC44" s="5" t="s">
        <v>27</v>
      </c>
      <c r="AD44" s="5" t="s">
        <v>27</v>
      </c>
    </row>
    <row r="45" spans="1:30" ht="30" x14ac:dyDescent="0.25">
      <c r="A45" s="1" t="s">
        <v>74</v>
      </c>
      <c r="B45" s="2">
        <v>1</v>
      </c>
      <c r="C45" s="2">
        <v>1</v>
      </c>
      <c r="D45" s="4" t="s">
        <v>26</v>
      </c>
      <c r="E45" s="2">
        <v>8</v>
      </c>
      <c r="F45" s="3" t="s">
        <v>27</v>
      </c>
      <c r="G45" s="3" t="s">
        <v>75</v>
      </c>
      <c r="H45" s="28" t="s">
        <v>27</v>
      </c>
      <c r="I45" s="3" t="s">
        <v>27</v>
      </c>
      <c r="J45" s="4" t="s">
        <v>27</v>
      </c>
      <c r="K45" s="4" t="s">
        <v>27</v>
      </c>
      <c r="L45" s="28" t="s">
        <v>27</v>
      </c>
      <c r="M45" s="28" t="s">
        <v>27</v>
      </c>
      <c r="N45" s="28" t="s">
        <v>27</v>
      </c>
      <c r="O45" s="28" t="s">
        <v>27</v>
      </c>
      <c r="P45" s="56" t="s">
        <v>27</v>
      </c>
      <c r="Q45" s="56" t="s">
        <v>27</v>
      </c>
      <c r="R45" s="27" t="s">
        <v>27</v>
      </c>
      <c r="S45" s="2" t="s">
        <v>551</v>
      </c>
      <c r="T45" s="2" t="s">
        <v>551</v>
      </c>
      <c r="U45" s="2" t="s">
        <v>551</v>
      </c>
      <c r="V45" s="2" t="s">
        <v>551</v>
      </c>
      <c r="W45" s="2" t="s">
        <v>551</v>
      </c>
      <c r="X45" s="2" t="s">
        <v>551</v>
      </c>
      <c r="Y45" s="2" t="s">
        <v>551</v>
      </c>
      <c r="Z45" s="27" t="s">
        <v>27</v>
      </c>
      <c r="AA45" s="5" t="s">
        <v>551</v>
      </c>
      <c r="AB45" s="5" t="s">
        <v>27</v>
      </c>
      <c r="AC45" s="5" t="s">
        <v>27</v>
      </c>
      <c r="AD45" s="5" t="s">
        <v>27</v>
      </c>
    </row>
    <row r="46" spans="1:30" ht="30" x14ac:dyDescent="0.25">
      <c r="A46" s="55" t="s">
        <v>190</v>
      </c>
      <c r="B46" s="2">
        <v>1</v>
      </c>
      <c r="C46" s="2">
        <v>1</v>
      </c>
      <c r="D46" s="4" t="s">
        <v>183</v>
      </c>
      <c r="E46" s="2">
        <v>1</v>
      </c>
      <c r="F46" s="3" t="s">
        <v>27</v>
      </c>
      <c r="G46" s="3" t="s">
        <v>191</v>
      </c>
      <c r="H46" s="28" t="s">
        <v>27</v>
      </c>
      <c r="I46" s="3" t="s">
        <v>27</v>
      </c>
      <c r="J46" s="2">
        <v>1</v>
      </c>
      <c r="K46" s="4" t="s">
        <v>186</v>
      </c>
      <c r="L46" s="28" t="s">
        <v>27</v>
      </c>
      <c r="M46" s="28" t="s">
        <v>27</v>
      </c>
      <c r="N46" s="28" t="s">
        <v>27</v>
      </c>
      <c r="O46" s="28" t="s">
        <v>27</v>
      </c>
      <c r="P46" s="56" t="s">
        <v>553</v>
      </c>
      <c r="Q46" s="56" t="s">
        <v>27</v>
      </c>
      <c r="R46" s="56" t="s">
        <v>27</v>
      </c>
      <c r="S46" s="4" t="s">
        <v>551</v>
      </c>
      <c r="T46" s="2" t="s">
        <v>551</v>
      </c>
      <c r="U46" s="2" t="s">
        <v>551</v>
      </c>
      <c r="V46" s="4" t="s">
        <v>552</v>
      </c>
      <c r="W46" s="4" t="s">
        <v>552</v>
      </c>
      <c r="X46" s="4" t="s">
        <v>552</v>
      </c>
      <c r="Y46" s="4" t="s">
        <v>552</v>
      </c>
      <c r="Z46" s="28" t="s">
        <v>27</v>
      </c>
      <c r="AA46" s="5" t="s">
        <v>27</v>
      </c>
      <c r="AB46" s="5" t="s">
        <v>27</v>
      </c>
      <c r="AC46" s="5" t="s">
        <v>27</v>
      </c>
      <c r="AD46" s="6" t="s">
        <v>27</v>
      </c>
    </row>
    <row r="47" spans="1:30" ht="30" x14ac:dyDescent="0.25">
      <c r="A47" s="55" t="s">
        <v>202</v>
      </c>
      <c r="B47" s="2">
        <v>2</v>
      </c>
      <c r="C47" s="2">
        <v>2</v>
      </c>
      <c r="D47" s="4" t="s">
        <v>183</v>
      </c>
      <c r="E47" s="2">
        <v>1</v>
      </c>
      <c r="F47" s="3" t="s">
        <v>27</v>
      </c>
      <c r="G47" s="3" t="s">
        <v>203</v>
      </c>
      <c r="H47" s="28" t="s">
        <v>27</v>
      </c>
      <c r="I47" s="3" t="s">
        <v>31</v>
      </c>
      <c r="J47" s="2">
        <v>1</v>
      </c>
      <c r="K47" s="4" t="s">
        <v>186</v>
      </c>
      <c r="L47" s="28" t="s">
        <v>27</v>
      </c>
      <c r="M47" s="28" t="s">
        <v>27</v>
      </c>
      <c r="N47" s="28" t="s">
        <v>27</v>
      </c>
      <c r="O47" s="28" t="s">
        <v>27</v>
      </c>
      <c r="P47" s="56" t="s">
        <v>27</v>
      </c>
      <c r="Q47" s="56" t="s">
        <v>27</v>
      </c>
      <c r="R47" s="56" t="s">
        <v>27</v>
      </c>
      <c r="S47" s="4" t="s">
        <v>551</v>
      </c>
      <c r="T47" s="2" t="s">
        <v>27</v>
      </c>
      <c r="U47" s="2" t="s">
        <v>551</v>
      </c>
      <c r="V47" s="4" t="s">
        <v>27</v>
      </c>
      <c r="W47" s="4" t="s">
        <v>27</v>
      </c>
      <c r="X47" s="4" t="s">
        <v>27</v>
      </c>
      <c r="Y47" s="4" t="s">
        <v>27</v>
      </c>
      <c r="Z47" s="28" t="s">
        <v>27</v>
      </c>
      <c r="AA47" s="5" t="s">
        <v>27</v>
      </c>
      <c r="AB47" s="5" t="s">
        <v>551</v>
      </c>
      <c r="AC47" s="5" t="s">
        <v>27</v>
      </c>
      <c r="AD47" s="6" t="s">
        <v>27</v>
      </c>
    </row>
    <row r="48" spans="1:30" ht="30" x14ac:dyDescent="0.25">
      <c r="A48" s="55" t="s">
        <v>182</v>
      </c>
      <c r="B48" s="2">
        <v>1</v>
      </c>
      <c r="C48" s="2">
        <v>1</v>
      </c>
      <c r="D48" s="4" t="s">
        <v>183</v>
      </c>
      <c r="E48" s="2">
        <v>2</v>
      </c>
      <c r="F48" s="3" t="s">
        <v>27</v>
      </c>
      <c r="G48" s="3" t="s">
        <v>184</v>
      </c>
      <c r="H48" s="28" t="s">
        <v>27</v>
      </c>
      <c r="I48" s="3" t="s">
        <v>185</v>
      </c>
      <c r="J48" s="2">
        <v>1</v>
      </c>
      <c r="K48" s="4" t="s">
        <v>186</v>
      </c>
      <c r="L48" s="28" t="s">
        <v>27</v>
      </c>
      <c r="M48" s="28" t="s">
        <v>27</v>
      </c>
      <c r="N48" s="28" t="s">
        <v>27</v>
      </c>
      <c r="O48" s="28" t="s">
        <v>534</v>
      </c>
      <c r="P48" s="56" t="s">
        <v>27</v>
      </c>
      <c r="Q48" s="56" t="s">
        <v>27</v>
      </c>
      <c r="R48" s="56" t="s">
        <v>27</v>
      </c>
      <c r="S48" s="4" t="s">
        <v>27</v>
      </c>
      <c r="T48" s="2" t="s">
        <v>551</v>
      </c>
      <c r="U48" s="2" t="s">
        <v>551</v>
      </c>
      <c r="V48" s="4" t="s">
        <v>27</v>
      </c>
      <c r="W48" s="4" t="s">
        <v>27</v>
      </c>
      <c r="X48" s="4" t="s">
        <v>27</v>
      </c>
      <c r="Y48" s="4" t="s">
        <v>27</v>
      </c>
      <c r="Z48" s="28" t="s">
        <v>27</v>
      </c>
      <c r="AA48" s="5" t="s">
        <v>27</v>
      </c>
      <c r="AB48" s="5" t="s">
        <v>27</v>
      </c>
      <c r="AC48" s="5" t="s">
        <v>27</v>
      </c>
      <c r="AD48" s="6" t="s">
        <v>27</v>
      </c>
    </row>
    <row r="49" spans="1:30" ht="30" x14ac:dyDescent="0.25">
      <c r="A49" s="55" t="s">
        <v>197</v>
      </c>
      <c r="B49" s="2">
        <v>2</v>
      </c>
      <c r="C49" s="2">
        <v>2</v>
      </c>
      <c r="D49" s="4" t="s">
        <v>183</v>
      </c>
      <c r="E49" s="2">
        <v>2</v>
      </c>
      <c r="F49" s="3" t="s">
        <v>27</v>
      </c>
      <c r="G49" s="3" t="s">
        <v>198</v>
      </c>
      <c r="H49" s="28" t="s">
        <v>27</v>
      </c>
      <c r="I49" s="3" t="s">
        <v>199</v>
      </c>
      <c r="J49" s="2">
        <v>1</v>
      </c>
      <c r="K49" s="4" t="s">
        <v>186</v>
      </c>
      <c r="L49" s="28" t="s">
        <v>27</v>
      </c>
      <c r="M49" s="28" t="s">
        <v>27</v>
      </c>
      <c r="N49" s="28" t="s">
        <v>27</v>
      </c>
      <c r="O49" s="28" t="s">
        <v>534</v>
      </c>
      <c r="P49" s="56" t="s">
        <v>551</v>
      </c>
      <c r="Q49" s="56" t="s">
        <v>27</v>
      </c>
      <c r="R49" s="56" t="s">
        <v>27</v>
      </c>
      <c r="S49" s="4" t="s">
        <v>551</v>
      </c>
      <c r="T49" s="2" t="s">
        <v>551</v>
      </c>
      <c r="U49" s="2" t="s">
        <v>27</v>
      </c>
      <c r="V49" s="4" t="s">
        <v>27</v>
      </c>
      <c r="W49" s="4" t="s">
        <v>27</v>
      </c>
      <c r="X49" s="4" t="s">
        <v>27</v>
      </c>
      <c r="Y49" s="4" t="s">
        <v>27</v>
      </c>
      <c r="Z49" s="28" t="s">
        <v>27</v>
      </c>
      <c r="AA49" s="5" t="s">
        <v>27</v>
      </c>
      <c r="AB49" s="5" t="s">
        <v>27</v>
      </c>
      <c r="AC49" s="5" t="s">
        <v>27</v>
      </c>
      <c r="AD49" s="6" t="s">
        <v>27</v>
      </c>
    </row>
    <row r="50" spans="1:30" ht="30" x14ac:dyDescent="0.25">
      <c r="A50" s="55" t="s">
        <v>217</v>
      </c>
      <c r="B50" s="2">
        <v>1</v>
      </c>
      <c r="C50" s="2">
        <v>1</v>
      </c>
      <c r="D50" s="4" t="s">
        <v>183</v>
      </c>
      <c r="E50" s="2">
        <v>3</v>
      </c>
      <c r="F50" s="3" t="s">
        <v>27</v>
      </c>
      <c r="G50" s="3" t="s">
        <v>218</v>
      </c>
      <c r="H50" s="28" t="s">
        <v>27</v>
      </c>
      <c r="I50" s="3" t="s">
        <v>31</v>
      </c>
      <c r="J50" s="2">
        <v>1</v>
      </c>
      <c r="K50" s="4" t="s">
        <v>186</v>
      </c>
      <c r="L50" s="28" t="s">
        <v>27</v>
      </c>
      <c r="M50" s="28" t="s">
        <v>27</v>
      </c>
      <c r="N50" s="28" t="s">
        <v>27</v>
      </c>
      <c r="O50" s="28" t="s">
        <v>534</v>
      </c>
      <c r="P50" s="56" t="s">
        <v>27</v>
      </c>
      <c r="Q50" s="56" t="s">
        <v>27</v>
      </c>
      <c r="R50" s="56" t="s">
        <v>27</v>
      </c>
      <c r="S50" s="4" t="s">
        <v>27</v>
      </c>
      <c r="T50" s="2" t="s">
        <v>551</v>
      </c>
      <c r="U50" s="2" t="s">
        <v>551</v>
      </c>
      <c r="V50" s="4" t="s">
        <v>27</v>
      </c>
      <c r="W50" s="4" t="s">
        <v>27</v>
      </c>
      <c r="X50" s="4" t="s">
        <v>27</v>
      </c>
      <c r="Y50" s="4" t="s">
        <v>27</v>
      </c>
      <c r="Z50" s="28" t="s">
        <v>27</v>
      </c>
      <c r="AA50" s="5" t="s">
        <v>27</v>
      </c>
      <c r="AB50" s="5" t="s">
        <v>27</v>
      </c>
      <c r="AC50" s="5" t="s">
        <v>27</v>
      </c>
      <c r="AD50" s="6" t="s">
        <v>27</v>
      </c>
    </row>
    <row r="51" spans="1:30" ht="30" x14ac:dyDescent="0.25">
      <c r="A51" s="55" t="s">
        <v>223</v>
      </c>
      <c r="B51" s="2">
        <v>1</v>
      </c>
      <c r="C51" s="2">
        <v>1</v>
      </c>
      <c r="D51" s="4" t="s">
        <v>183</v>
      </c>
      <c r="E51" s="2">
        <v>2</v>
      </c>
      <c r="F51" s="3" t="s">
        <v>27</v>
      </c>
      <c r="G51" s="3" t="s">
        <v>224</v>
      </c>
      <c r="H51" s="28" t="s">
        <v>27</v>
      </c>
      <c r="I51" s="3" t="s">
        <v>27</v>
      </c>
      <c r="J51" s="2">
        <v>1</v>
      </c>
      <c r="K51" s="4" t="s">
        <v>225</v>
      </c>
      <c r="L51" s="28" t="s">
        <v>27</v>
      </c>
      <c r="M51" s="28" t="s">
        <v>27</v>
      </c>
      <c r="N51" s="28" t="s">
        <v>27</v>
      </c>
      <c r="O51" s="28" t="s">
        <v>27</v>
      </c>
      <c r="P51" s="56" t="s">
        <v>553</v>
      </c>
      <c r="Q51" s="56" t="s">
        <v>27</v>
      </c>
      <c r="R51" s="56" t="s">
        <v>27</v>
      </c>
      <c r="S51" s="4" t="s">
        <v>551</v>
      </c>
      <c r="T51" s="2" t="s">
        <v>551</v>
      </c>
      <c r="U51" s="2" t="s">
        <v>27</v>
      </c>
      <c r="V51" s="4" t="s">
        <v>27</v>
      </c>
      <c r="W51" s="4" t="s">
        <v>27</v>
      </c>
      <c r="X51" s="4" t="s">
        <v>27</v>
      </c>
      <c r="Y51" s="4" t="s">
        <v>27</v>
      </c>
      <c r="Z51" s="28" t="s">
        <v>27</v>
      </c>
      <c r="AA51" s="5" t="s">
        <v>27</v>
      </c>
      <c r="AB51" s="5" t="s">
        <v>27</v>
      </c>
      <c r="AC51" s="5" t="s">
        <v>551</v>
      </c>
      <c r="AD51" s="6" t="s">
        <v>27</v>
      </c>
    </row>
    <row r="52" spans="1:30" ht="30" x14ac:dyDescent="0.25">
      <c r="A52" s="55" t="s">
        <v>226</v>
      </c>
      <c r="B52" s="2">
        <v>1</v>
      </c>
      <c r="C52" s="2">
        <v>1</v>
      </c>
      <c r="D52" s="4" t="s">
        <v>183</v>
      </c>
      <c r="E52" s="2">
        <v>2</v>
      </c>
      <c r="F52" s="3" t="s">
        <v>27</v>
      </c>
      <c r="G52" s="3" t="s">
        <v>27</v>
      </c>
      <c r="H52" s="28" t="s">
        <v>27</v>
      </c>
      <c r="I52" s="3" t="s">
        <v>227</v>
      </c>
      <c r="J52" s="2">
        <v>1</v>
      </c>
      <c r="K52" s="4" t="s">
        <v>196</v>
      </c>
      <c r="L52" s="28" t="s">
        <v>27</v>
      </c>
      <c r="M52" s="28" t="s">
        <v>27</v>
      </c>
      <c r="N52" s="28" t="s">
        <v>27</v>
      </c>
      <c r="O52" s="28" t="s">
        <v>27</v>
      </c>
      <c r="P52" s="56" t="s">
        <v>27</v>
      </c>
      <c r="Q52" s="56" t="s">
        <v>27</v>
      </c>
      <c r="R52" s="56" t="s">
        <v>27</v>
      </c>
      <c r="S52" s="4" t="s">
        <v>27</v>
      </c>
      <c r="T52" s="2" t="s">
        <v>27</v>
      </c>
      <c r="U52" s="2" t="s">
        <v>551</v>
      </c>
      <c r="V52" s="4" t="s">
        <v>27</v>
      </c>
      <c r="W52" s="4" t="s">
        <v>27</v>
      </c>
      <c r="X52" s="4" t="s">
        <v>27</v>
      </c>
      <c r="Y52" s="4" t="s">
        <v>551</v>
      </c>
      <c r="Z52" s="28" t="s">
        <v>27</v>
      </c>
      <c r="AA52" s="5" t="s">
        <v>27</v>
      </c>
      <c r="AB52" s="5" t="s">
        <v>27</v>
      </c>
      <c r="AC52" s="5" t="s">
        <v>27</v>
      </c>
      <c r="AD52" s="6" t="s">
        <v>551</v>
      </c>
    </row>
    <row r="53" spans="1:30" ht="30" x14ac:dyDescent="0.25">
      <c r="A53" s="55" t="s">
        <v>230</v>
      </c>
      <c r="B53" s="2">
        <v>2</v>
      </c>
      <c r="C53" s="2">
        <v>2</v>
      </c>
      <c r="D53" s="4" t="s">
        <v>183</v>
      </c>
      <c r="E53" s="2">
        <v>3</v>
      </c>
      <c r="F53" s="61" t="s">
        <v>188</v>
      </c>
      <c r="G53" s="3" t="s">
        <v>27</v>
      </c>
      <c r="H53" s="28" t="s">
        <v>27</v>
      </c>
      <c r="I53" s="3" t="s">
        <v>184</v>
      </c>
      <c r="J53" s="2">
        <v>1</v>
      </c>
      <c r="K53" s="4" t="s">
        <v>186</v>
      </c>
      <c r="L53" s="28" t="s">
        <v>27</v>
      </c>
      <c r="M53" s="28" t="s">
        <v>27</v>
      </c>
      <c r="N53" s="28" t="s">
        <v>27</v>
      </c>
      <c r="O53" s="28" t="s">
        <v>534</v>
      </c>
      <c r="P53" s="56" t="s">
        <v>27</v>
      </c>
      <c r="Q53" s="56" t="s">
        <v>27</v>
      </c>
      <c r="R53" s="56" t="s">
        <v>27</v>
      </c>
      <c r="S53" s="4" t="s">
        <v>27</v>
      </c>
      <c r="T53" s="2" t="s">
        <v>27</v>
      </c>
      <c r="U53" s="2" t="s">
        <v>551</v>
      </c>
      <c r="V53" s="4" t="s">
        <v>27</v>
      </c>
      <c r="W53" s="4" t="s">
        <v>27</v>
      </c>
      <c r="X53" s="4" t="s">
        <v>27</v>
      </c>
      <c r="Y53" s="4" t="s">
        <v>27</v>
      </c>
      <c r="Z53" s="28" t="s">
        <v>27</v>
      </c>
      <c r="AA53" s="5" t="s">
        <v>27</v>
      </c>
      <c r="AB53" s="5" t="s">
        <v>27</v>
      </c>
      <c r="AC53" s="5" t="s">
        <v>27</v>
      </c>
      <c r="AD53" s="6" t="s">
        <v>27</v>
      </c>
    </row>
    <row r="54" spans="1:30" ht="30" x14ac:dyDescent="0.25">
      <c r="A54" s="55" t="s">
        <v>194</v>
      </c>
      <c r="B54" s="2">
        <v>1</v>
      </c>
      <c r="C54" s="2">
        <v>1</v>
      </c>
      <c r="D54" s="4" t="s">
        <v>183</v>
      </c>
      <c r="E54" s="2">
        <v>3</v>
      </c>
      <c r="F54" s="3" t="s">
        <v>27</v>
      </c>
      <c r="G54" s="3" t="s">
        <v>195</v>
      </c>
      <c r="H54" s="28" t="s">
        <v>27</v>
      </c>
      <c r="I54" s="3" t="s">
        <v>27</v>
      </c>
      <c r="J54" s="2">
        <v>1</v>
      </c>
      <c r="K54" s="4" t="s">
        <v>196</v>
      </c>
      <c r="L54" s="28" t="s">
        <v>27</v>
      </c>
      <c r="M54" s="28" t="s">
        <v>27</v>
      </c>
      <c r="N54" s="28" t="s">
        <v>27</v>
      </c>
      <c r="O54" s="28" t="s">
        <v>27</v>
      </c>
      <c r="P54" s="56" t="s">
        <v>553</v>
      </c>
      <c r="Q54" s="56" t="s">
        <v>27</v>
      </c>
      <c r="R54" s="56" t="s">
        <v>27</v>
      </c>
      <c r="S54" s="4" t="s">
        <v>27</v>
      </c>
      <c r="T54" s="2" t="s">
        <v>27</v>
      </c>
      <c r="U54" s="2" t="s">
        <v>551</v>
      </c>
      <c r="V54" s="4" t="s">
        <v>27</v>
      </c>
      <c r="W54" s="4" t="s">
        <v>551</v>
      </c>
      <c r="X54" s="4" t="s">
        <v>27</v>
      </c>
      <c r="Y54" s="4" t="s">
        <v>27</v>
      </c>
      <c r="Z54" s="28" t="s">
        <v>27</v>
      </c>
      <c r="AA54" s="5" t="s">
        <v>27</v>
      </c>
      <c r="AB54" s="5" t="s">
        <v>551</v>
      </c>
      <c r="AC54" s="5" t="s">
        <v>27</v>
      </c>
      <c r="AD54" s="6" t="s">
        <v>551</v>
      </c>
    </row>
    <row r="55" spans="1:30" ht="30" x14ac:dyDescent="0.25">
      <c r="A55" s="55" t="s">
        <v>239</v>
      </c>
      <c r="B55" s="2">
        <v>1</v>
      </c>
      <c r="C55" s="2">
        <v>1</v>
      </c>
      <c r="D55" s="4" t="s">
        <v>183</v>
      </c>
      <c r="E55" s="2">
        <v>3</v>
      </c>
      <c r="F55" s="3" t="s">
        <v>27</v>
      </c>
      <c r="G55" s="3" t="s">
        <v>240</v>
      </c>
      <c r="H55" s="28" t="s">
        <v>27</v>
      </c>
      <c r="I55" s="3" t="s">
        <v>241</v>
      </c>
      <c r="J55" s="2">
        <v>2</v>
      </c>
      <c r="K55" s="4" t="s">
        <v>186</v>
      </c>
      <c r="L55" s="28" t="s">
        <v>27</v>
      </c>
      <c r="M55" s="28" t="s">
        <v>27</v>
      </c>
      <c r="N55" s="28" t="s">
        <v>27</v>
      </c>
      <c r="O55" s="28" t="s">
        <v>534</v>
      </c>
      <c r="P55" s="56" t="s">
        <v>27</v>
      </c>
      <c r="Q55" s="56" t="s">
        <v>27</v>
      </c>
      <c r="R55" s="56" t="s">
        <v>27</v>
      </c>
      <c r="S55" s="4" t="s">
        <v>27</v>
      </c>
      <c r="T55" s="2" t="s">
        <v>551</v>
      </c>
      <c r="U55" s="2" t="s">
        <v>27</v>
      </c>
      <c r="V55" s="4" t="s">
        <v>551</v>
      </c>
      <c r="W55" s="4" t="s">
        <v>27</v>
      </c>
      <c r="X55" s="4" t="s">
        <v>27</v>
      </c>
      <c r="Y55" s="4" t="s">
        <v>27</v>
      </c>
      <c r="Z55" s="28" t="s">
        <v>27</v>
      </c>
      <c r="AA55" s="5" t="s">
        <v>27</v>
      </c>
      <c r="AB55" s="5" t="s">
        <v>27</v>
      </c>
      <c r="AC55" s="5" t="s">
        <v>27</v>
      </c>
      <c r="AD55" s="6" t="s">
        <v>27</v>
      </c>
    </row>
    <row r="56" spans="1:30" ht="30" x14ac:dyDescent="0.25">
      <c r="A56" s="55" t="s">
        <v>219</v>
      </c>
      <c r="B56" s="2">
        <v>2</v>
      </c>
      <c r="C56" s="2">
        <v>2</v>
      </c>
      <c r="D56" s="4" t="s">
        <v>183</v>
      </c>
      <c r="E56" s="2">
        <v>3</v>
      </c>
      <c r="F56" s="3" t="s">
        <v>27</v>
      </c>
      <c r="G56" s="3" t="s">
        <v>220</v>
      </c>
      <c r="H56" s="28" t="s">
        <v>27</v>
      </c>
      <c r="I56" s="3" t="s">
        <v>27</v>
      </c>
      <c r="J56" s="2">
        <v>1</v>
      </c>
      <c r="K56" s="4" t="s">
        <v>186</v>
      </c>
      <c r="L56" s="28" t="s">
        <v>27</v>
      </c>
      <c r="M56" s="28" t="s">
        <v>27</v>
      </c>
      <c r="N56" s="28" t="s">
        <v>27</v>
      </c>
      <c r="O56" s="28" t="s">
        <v>27</v>
      </c>
      <c r="P56" s="56" t="s">
        <v>551</v>
      </c>
      <c r="Q56" s="56" t="s">
        <v>27</v>
      </c>
      <c r="R56" s="56" t="s">
        <v>27</v>
      </c>
      <c r="S56" s="4" t="s">
        <v>27</v>
      </c>
      <c r="T56" s="2" t="s">
        <v>27</v>
      </c>
      <c r="U56" s="2" t="s">
        <v>27</v>
      </c>
      <c r="V56" s="4" t="s">
        <v>27</v>
      </c>
      <c r="W56" s="4" t="s">
        <v>27</v>
      </c>
      <c r="X56" s="4" t="s">
        <v>551</v>
      </c>
      <c r="Y56" s="4" t="s">
        <v>27</v>
      </c>
      <c r="Z56" s="28" t="s">
        <v>27</v>
      </c>
      <c r="AA56" s="5" t="s">
        <v>551</v>
      </c>
      <c r="AB56" s="5" t="s">
        <v>27</v>
      </c>
      <c r="AC56" s="5" t="s">
        <v>27</v>
      </c>
      <c r="AD56" s="6" t="s">
        <v>27</v>
      </c>
    </row>
    <row r="57" spans="1:30" ht="30" x14ac:dyDescent="0.25">
      <c r="A57" s="55" t="s">
        <v>228</v>
      </c>
      <c r="B57" s="2">
        <v>1</v>
      </c>
      <c r="C57" s="2">
        <v>1</v>
      </c>
      <c r="D57" s="4" t="s">
        <v>183</v>
      </c>
      <c r="E57" s="2">
        <v>3</v>
      </c>
      <c r="F57" s="3" t="s">
        <v>27</v>
      </c>
      <c r="G57" s="3" t="s">
        <v>229</v>
      </c>
      <c r="H57" s="28" t="s">
        <v>27</v>
      </c>
      <c r="I57" s="3" t="s">
        <v>27</v>
      </c>
      <c r="J57" s="2">
        <v>1</v>
      </c>
      <c r="K57" s="4" t="s">
        <v>225</v>
      </c>
      <c r="L57" s="28" t="s">
        <v>27</v>
      </c>
      <c r="M57" s="28" t="s">
        <v>27</v>
      </c>
      <c r="N57" s="28" t="s">
        <v>27</v>
      </c>
      <c r="O57" s="28" t="s">
        <v>27</v>
      </c>
      <c r="P57" s="56" t="s">
        <v>27</v>
      </c>
      <c r="Q57" s="56" t="s">
        <v>27</v>
      </c>
      <c r="R57" s="56" t="s">
        <v>27</v>
      </c>
      <c r="S57" s="4" t="s">
        <v>552</v>
      </c>
      <c r="T57" s="2" t="s">
        <v>27</v>
      </c>
      <c r="U57" s="2" t="s">
        <v>552</v>
      </c>
      <c r="V57" s="4" t="s">
        <v>27</v>
      </c>
      <c r="W57" s="4" t="s">
        <v>27</v>
      </c>
      <c r="X57" s="4" t="s">
        <v>27</v>
      </c>
      <c r="Y57" s="4" t="s">
        <v>27</v>
      </c>
      <c r="Z57" s="28" t="s">
        <v>27</v>
      </c>
      <c r="AA57" s="5" t="s">
        <v>27</v>
      </c>
      <c r="AB57" s="5" t="s">
        <v>27</v>
      </c>
      <c r="AC57" s="5" t="s">
        <v>551</v>
      </c>
      <c r="AD57" s="6" t="s">
        <v>551</v>
      </c>
    </row>
    <row r="58" spans="1:30" ht="30" x14ac:dyDescent="0.25">
      <c r="A58" s="55" t="s">
        <v>187</v>
      </c>
      <c r="B58" s="2">
        <v>1</v>
      </c>
      <c r="C58" s="2">
        <v>1</v>
      </c>
      <c r="D58" s="4" t="s">
        <v>183</v>
      </c>
      <c r="E58" s="2">
        <v>4</v>
      </c>
      <c r="F58" s="3" t="s">
        <v>27</v>
      </c>
      <c r="G58" s="3" t="s">
        <v>188</v>
      </c>
      <c r="H58" s="28" t="s">
        <v>27</v>
      </c>
      <c r="I58" s="3" t="s">
        <v>189</v>
      </c>
      <c r="J58" s="2">
        <v>1</v>
      </c>
      <c r="K58" s="4" t="s">
        <v>186</v>
      </c>
      <c r="L58" s="28" t="s">
        <v>27</v>
      </c>
      <c r="M58" s="28" t="s">
        <v>27</v>
      </c>
      <c r="N58" s="28" t="s">
        <v>27</v>
      </c>
      <c r="O58" s="28" t="s">
        <v>534</v>
      </c>
      <c r="P58" s="56" t="s">
        <v>551</v>
      </c>
      <c r="Q58" s="56" t="s">
        <v>27</v>
      </c>
      <c r="R58" s="56" t="s">
        <v>27</v>
      </c>
      <c r="S58" s="4" t="s">
        <v>551</v>
      </c>
      <c r="T58" s="2" t="s">
        <v>27</v>
      </c>
      <c r="U58" s="2" t="s">
        <v>27</v>
      </c>
      <c r="V58" s="4" t="s">
        <v>27</v>
      </c>
      <c r="W58" s="4" t="s">
        <v>27</v>
      </c>
      <c r="X58" s="4" t="s">
        <v>27</v>
      </c>
      <c r="Y58" s="4" t="s">
        <v>27</v>
      </c>
      <c r="Z58" s="28" t="s">
        <v>27</v>
      </c>
      <c r="AA58" s="5" t="s">
        <v>27</v>
      </c>
      <c r="AB58" s="5" t="s">
        <v>27</v>
      </c>
      <c r="AC58" s="5" t="s">
        <v>27</v>
      </c>
      <c r="AD58" s="6" t="s">
        <v>27</v>
      </c>
    </row>
    <row r="59" spans="1:30" ht="30" x14ac:dyDescent="0.25">
      <c r="A59" s="55" t="s">
        <v>221</v>
      </c>
      <c r="B59" s="2">
        <v>1</v>
      </c>
      <c r="C59" s="2">
        <v>1</v>
      </c>
      <c r="D59" s="4" t="s">
        <v>183</v>
      </c>
      <c r="E59" s="2">
        <v>5</v>
      </c>
      <c r="F59" s="3" t="s">
        <v>27</v>
      </c>
      <c r="G59" s="3" t="s">
        <v>222</v>
      </c>
      <c r="H59" s="28" t="s">
        <v>27</v>
      </c>
      <c r="I59" s="3" t="s">
        <v>27</v>
      </c>
      <c r="J59" s="2">
        <v>1</v>
      </c>
      <c r="K59" s="4" t="s">
        <v>196</v>
      </c>
      <c r="L59" s="28" t="s">
        <v>27</v>
      </c>
      <c r="M59" s="28" t="s">
        <v>27</v>
      </c>
      <c r="N59" s="28" t="s">
        <v>27</v>
      </c>
      <c r="O59" s="28" t="s">
        <v>534</v>
      </c>
      <c r="P59" s="56" t="s">
        <v>551</v>
      </c>
      <c r="Q59" s="56" t="s">
        <v>27</v>
      </c>
      <c r="R59" s="56" t="s">
        <v>27</v>
      </c>
      <c r="S59" s="4" t="s">
        <v>27</v>
      </c>
      <c r="T59" s="2" t="s">
        <v>551</v>
      </c>
      <c r="U59" s="2" t="s">
        <v>27</v>
      </c>
      <c r="V59" s="4" t="s">
        <v>27</v>
      </c>
      <c r="W59" s="4" t="s">
        <v>27</v>
      </c>
      <c r="X59" s="4" t="s">
        <v>27</v>
      </c>
      <c r="Y59" s="4" t="s">
        <v>27</v>
      </c>
      <c r="Z59" s="28" t="s">
        <v>27</v>
      </c>
      <c r="AA59" s="5" t="s">
        <v>27</v>
      </c>
      <c r="AB59" s="5" t="s">
        <v>27</v>
      </c>
      <c r="AC59" s="5" t="s">
        <v>27</v>
      </c>
      <c r="AD59" s="6" t="s">
        <v>27</v>
      </c>
    </row>
    <row r="60" spans="1:30" ht="30" x14ac:dyDescent="0.25">
      <c r="A60" s="55" t="s">
        <v>236</v>
      </c>
      <c r="B60" s="2">
        <v>2</v>
      </c>
      <c r="C60" s="2">
        <v>2</v>
      </c>
      <c r="D60" s="4" t="s">
        <v>183</v>
      </c>
      <c r="E60" s="2">
        <v>5</v>
      </c>
      <c r="F60" s="3" t="s">
        <v>27</v>
      </c>
      <c r="G60" s="3" t="s">
        <v>237</v>
      </c>
      <c r="H60" s="28" t="s">
        <v>27</v>
      </c>
      <c r="I60" s="3" t="s">
        <v>238</v>
      </c>
      <c r="J60" s="2">
        <v>1</v>
      </c>
      <c r="K60" s="4" t="s">
        <v>186</v>
      </c>
      <c r="L60" s="28" t="s">
        <v>27</v>
      </c>
      <c r="M60" s="28" t="s">
        <v>27</v>
      </c>
      <c r="N60" s="28" t="s">
        <v>27</v>
      </c>
      <c r="O60" s="28" t="s">
        <v>534</v>
      </c>
      <c r="P60" s="56" t="s">
        <v>27</v>
      </c>
      <c r="Q60" s="56" t="s">
        <v>27</v>
      </c>
      <c r="R60" s="56" t="s">
        <v>27</v>
      </c>
      <c r="S60" s="4" t="s">
        <v>551</v>
      </c>
      <c r="T60" s="2" t="s">
        <v>27</v>
      </c>
      <c r="U60" s="2" t="s">
        <v>551</v>
      </c>
      <c r="V60" s="4" t="s">
        <v>27</v>
      </c>
      <c r="W60" s="4" t="s">
        <v>27</v>
      </c>
      <c r="X60" s="4" t="s">
        <v>27</v>
      </c>
      <c r="Y60" s="4" t="s">
        <v>27</v>
      </c>
      <c r="Z60" s="28" t="s">
        <v>27</v>
      </c>
      <c r="AA60" s="5" t="s">
        <v>27</v>
      </c>
      <c r="AB60" s="5" t="s">
        <v>27</v>
      </c>
      <c r="AC60" s="5" t="s">
        <v>27</v>
      </c>
      <c r="AD60" s="6" t="s">
        <v>27</v>
      </c>
    </row>
    <row r="61" spans="1:30" ht="30" x14ac:dyDescent="0.25">
      <c r="A61" s="55" t="s">
        <v>192</v>
      </c>
      <c r="B61" s="2">
        <v>1</v>
      </c>
      <c r="C61" s="2">
        <v>1</v>
      </c>
      <c r="D61" s="4" t="s">
        <v>183</v>
      </c>
      <c r="E61" s="2">
        <v>4</v>
      </c>
      <c r="F61" s="3" t="s">
        <v>27</v>
      </c>
      <c r="G61" s="3" t="s">
        <v>193</v>
      </c>
      <c r="H61" s="28" t="s">
        <v>27</v>
      </c>
      <c r="I61" s="3" t="s">
        <v>27</v>
      </c>
      <c r="J61" s="2">
        <v>2</v>
      </c>
      <c r="K61" s="4" t="s">
        <v>186</v>
      </c>
      <c r="L61" s="28" t="s">
        <v>27</v>
      </c>
      <c r="M61" s="28" t="s">
        <v>27</v>
      </c>
      <c r="N61" s="28" t="s">
        <v>27</v>
      </c>
      <c r="O61" s="28" t="s">
        <v>27</v>
      </c>
      <c r="P61" s="56" t="s">
        <v>553</v>
      </c>
      <c r="Q61" s="56" t="s">
        <v>27</v>
      </c>
      <c r="R61" s="56" t="s">
        <v>27</v>
      </c>
      <c r="S61" s="4" t="s">
        <v>27</v>
      </c>
      <c r="T61" s="2" t="s">
        <v>27</v>
      </c>
      <c r="U61" s="2" t="s">
        <v>27</v>
      </c>
      <c r="V61" s="4" t="s">
        <v>27</v>
      </c>
      <c r="W61" s="4" t="s">
        <v>27</v>
      </c>
      <c r="X61" s="4" t="s">
        <v>27</v>
      </c>
      <c r="Y61" s="4" t="s">
        <v>27</v>
      </c>
      <c r="Z61" s="28" t="s">
        <v>27</v>
      </c>
      <c r="AA61" s="5" t="s">
        <v>551</v>
      </c>
      <c r="AB61" s="5" t="s">
        <v>27</v>
      </c>
      <c r="AC61" s="5" t="s">
        <v>27</v>
      </c>
      <c r="AD61" s="6" t="s">
        <v>27</v>
      </c>
    </row>
    <row r="62" spans="1:30" ht="30" x14ac:dyDescent="0.25">
      <c r="A62" s="55" t="s">
        <v>206</v>
      </c>
      <c r="B62" s="2">
        <v>1</v>
      </c>
      <c r="C62" s="2">
        <v>1</v>
      </c>
      <c r="D62" s="4" t="s">
        <v>183</v>
      </c>
      <c r="E62" s="2">
        <v>4</v>
      </c>
      <c r="F62" s="3" t="s">
        <v>27</v>
      </c>
      <c r="G62" s="3" t="s">
        <v>207</v>
      </c>
      <c r="H62" s="28" t="s">
        <v>27</v>
      </c>
      <c r="I62" s="3" t="s">
        <v>27</v>
      </c>
      <c r="J62" s="2">
        <v>2</v>
      </c>
      <c r="K62" s="4" t="s">
        <v>186</v>
      </c>
      <c r="L62" s="28" t="s">
        <v>27</v>
      </c>
      <c r="M62" s="28" t="s">
        <v>27</v>
      </c>
      <c r="N62" s="28" t="s">
        <v>27</v>
      </c>
      <c r="O62" s="28" t="s">
        <v>27</v>
      </c>
      <c r="P62" s="56" t="s">
        <v>551</v>
      </c>
      <c r="Q62" s="56" t="s">
        <v>27</v>
      </c>
      <c r="R62" s="56" t="s">
        <v>27</v>
      </c>
      <c r="S62" s="4" t="s">
        <v>27</v>
      </c>
      <c r="T62" s="2" t="s">
        <v>551</v>
      </c>
      <c r="U62" s="2" t="s">
        <v>27</v>
      </c>
      <c r="V62" s="4" t="s">
        <v>27</v>
      </c>
      <c r="W62" s="4" t="s">
        <v>27</v>
      </c>
      <c r="X62" s="4" t="s">
        <v>27</v>
      </c>
      <c r="Y62" s="4" t="s">
        <v>27</v>
      </c>
      <c r="Z62" s="28" t="s">
        <v>27</v>
      </c>
      <c r="AA62" s="5" t="s">
        <v>27</v>
      </c>
      <c r="AB62" s="5" t="s">
        <v>27</v>
      </c>
      <c r="AC62" s="5" t="s">
        <v>27</v>
      </c>
      <c r="AD62" s="6" t="s">
        <v>27</v>
      </c>
    </row>
    <row r="63" spans="1:30" ht="30" x14ac:dyDescent="0.25">
      <c r="A63" s="55" t="s">
        <v>210</v>
      </c>
      <c r="B63" s="2">
        <v>1</v>
      </c>
      <c r="C63" s="2">
        <v>1</v>
      </c>
      <c r="D63" s="4" t="s">
        <v>183</v>
      </c>
      <c r="E63" s="2">
        <v>4</v>
      </c>
      <c r="F63" s="3" t="s">
        <v>39</v>
      </c>
      <c r="G63" s="3" t="s">
        <v>27</v>
      </c>
      <c r="H63" s="60" t="s">
        <v>443</v>
      </c>
      <c r="I63" s="3" t="s">
        <v>27</v>
      </c>
      <c r="J63" s="2">
        <v>1</v>
      </c>
      <c r="K63" s="4" t="s">
        <v>27</v>
      </c>
      <c r="L63" s="60" t="s">
        <v>453</v>
      </c>
      <c r="M63" s="28" t="s">
        <v>27</v>
      </c>
      <c r="N63" s="28" t="s">
        <v>27</v>
      </c>
      <c r="O63" s="28" t="s">
        <v>27</v>
      </c>
      <c r="P63" s="56" t="s">
        <v>27</v>
      </c>
      <c r="Q63" s="56" t="s">
        <v>27</v>
      </c>
      <c r="R63" s="56" t="s">
        <v>27</v>
      </c>
      <c r="S63" s="4" t="s">
        <v>27</v>
      </c>
      <c r="T63" s="2" t="s">
        <v>551</v>
      </c>
      <c r="U63" s="2" t="s">
        <v>551</v>
      </c>
      <c r="V63" s="4" t="s">
        <v>27</v>
      </c>
      <c r="W63" s="4" t="s">
        <v>27</v>
      </c>
      <c r="X63" s="4" t="s">
        <v>27</v>
      </c>
      <c r="Y63" s="4" t="s">
        <v>551</v>
      </c>
      <c r="Z63" s="28" t="s">
        <v>27</v>
      </c>
      <c r="AA63" s="5" t="s">
        <v>551</v>
      </c>
      <c r="AB63" s="5" t="s">
        <v>27</v>
      </c>
      <c r="AC63" s="5" t="s">
        <v>27</v>
      </c>
      <c r="AD63" s="6" t="s">
        <v>551</v>
      </c>
    </row>
    <row r="64" spans="1:30" x14ac:dyDescent="0.25">
      <c r="A64" s="55" t="s">
        <v>233</v>
      </c>
      <c r="B64" s="2">
        <v>1</v>
      </c>
      <c r="C64" s="2">
        <v>1</v>
      </c>
      <c r="D64" s="4" t="s">
        <v>183</v>
      </c>
      <c r="E64" s="2">
        <v>4</v>
      </c>
      <c r="F64" s="3" t="s">
        <v>27</v>
      </c>
      <c r="G64" s="3" t="s">
        <v>234</v>
      </c>
      <c r="H64" s="28" t="s">
        <v>27</v>
      </c>
      <c r="I64" s="3" t="s">
        <v>235</v>
      </c>
      <c r="J64" s="2">
        <v>1</v>
      </c>
      <c r="K64" s="4" t="s">
        <v>186</v>
      </c>
      <c r="L64" s="28" t="s">
        <v>27</v>
      </c>
      <c r="M64" s="28" t="s">
        <v>27</v>
      </c>
      <c r="N64" s="28" t="s">
        <v>27</v>
      </c>
      <c r="O64" s="28" t="s">
        <v>27</v>
      </c>
      <c r="P64" s="56" t="s">
        <v>27</v>
      </c>
      <c r="Q64" s="56" t="s">
        <v>27</v>
      </c>
      <c r="R64" s="56" t="s">
        <v>27</v>
      </c>
      <c r="S64" s="4" t="s">
        <v>27</v>
      </c>
      <c r="T64" s="2" t="s">
        <v>27</v>
      </c>
      <c r="U64" s="2" t="s">
        <v>27</v>
      </c>
      <c r="V64" s="4" t="s">
        <v>551</v>
      </c>
      <c r="W64" s="4" t="s">
        <v>27</v>
      </c>
      <c r="X64" s="4" t="s">
        <v>27</v>
      </c>
      <c r="Y64" s="4" t="s">
        <v>27</v>
      </c>
      <c r="Z64" s="28" t="s">
        <v>27</v>
      </c>
      <c r="AA64" s="5" t="s">
        <v>551</v>
      </c>
      <c r="AB64" s="5" t="s">
        <v>27</v>
      </c>
      <c r="AC64" s="5" t="s">
        <v>551</v>
      </c>
      <c r="AD64" s="6" t="s">
        <v>27</v>
      </c>
    </row>
    <row r="65" spans="1:30" ht="30" x14ac:dyDescent="0.25">
      <c r="A65" s="55" t="s">
        <v>208</v>
      </c>
      <c r="B65" s="2">
        <v>1</v>
      </c>
      <c r="C65" s="2">
        <v>1</v>
      </c>
      <c r="D65" s="4" t="s">
        <v>183</v>
      </c>
      <c r="E65" s="2">
        <v>5</v>
      </c>
      <c r="F65" s="3" t="s">
        <v>27</v>
      </c>
      <c r="G65" s="3" t="s">
        <v>209</v>
      </c>
      <c r="H65" s="28" t="s">
        <v>27</v>
      </c>
      <c r="I65" s="3" t="s">
        <v>27</v>
      </c>
      <c r="J65" s="2">
        <v>2</v>
      </c>
      <c r="K65" s="4" t="s">
        <v>186</v>
      </c>
      <c r="L65" s="28" t="s">
        <v>27</v>
      </c>
      <c r="M65" s="28" t="s">
        <v>27</v>
      </c>
      <c r="N65" s="28" t="s">
        <v>27</v>
      </c>
      <c r="O65" s="28" t="s">
        <v>27</v>
      </c>
      <c r="P65" s="56" t="s">
        <v>27</v>
      </c>
      <c r="Q65" s="56" t="s">
        <v>27</v>
      </c>
      <c r="R65" s="56" t="s">
        <v>27</v>
      </c>
      <c r="S65" s="4" t="s">
        <v>551</v>
      </c>
      <c r="T65" s="2" t="s">
        <v>27</v>
      </c>
      <c r="U65" s="2" t="s">
        <v>27</v>
      </c>
      <c r="V65" s="4" t="s">
        <v>27</v>
      </c>
      <c r="W65" s="4" t="s">
        <v>551</v>
      </c>
      <c r="X65" s="4" t="s">
        <v>551</v>
      </c>
      <c r="Y65" s="4" t="s">
        <v>27</v>
      </c>
      <c r="Z65" s="28" t="s">
        <v>27</v>
      </c>
      <c r="AA65" s="5" t="s">
        <v>551</v>
      </c>
      <c r="AB65" s="5" t="s">
        <v>551</v>
      </c>
      <c r="AC65" s="5" t="s">
        <v>27</v>
      </c>
      <c r="AD65" s="6" t="s">
        <v>27</v>
      </c>
    </row>
    <row r="66" spans="1:30" ht="30" x14ac:dyDescent="0.25">
      <c r="A66" s="55" t="s">
        <v>231</v>
      </c>
      <c r="B66" s="2">
        <v>1</v>
      </c>
      <c r="C66" s="2">
        <v>1</v>
      </c>
      <c r="D66" s="4" t="s">
        <v>183</v>
      </c>
      <c r="E66" s="2">
        <v>5</v>
      </c>
      <c r="F66" s="3" t="s">
        <v>27</v>
      </c>
      <c r="G66" s="3" t="s">
        <v>232</v>
      </c>
      <c r="H66" s="28" t="s">
        <v>27</v>
      </c>
      <c r="I66" s="3" t="s">
        <v>27</v>
      </c>
      <c r="J66" s="2">
        <v>1</v>
      </c>
      <c r="K66" s="4" t="s">
        <v>186</v>
      </c>
      <c r="L66" s="60" t="s">
        <v>92</v>
      </c>
      <c r="M66" s="28" t="s">
        <v>27</v>
      </c>
      <c r="N66" s="28" t="s">
        <v>27</v>
      </c>
      <c r="O66" s="28" t="s">
        <v>27</v>
      </c>
      <c r="P66" s="56" t="s">
        <v>27</v>
      </c>
      <c r="Q66" s="56" t="s">
        <v>27</v>
      </c>
      <c r="R66" s="56" t="s">
        <v>27</v>
      </c>
      <c r="S66" s="4" t="s">
        <v>27</v>
      </c>
      <c r="T66" s="2" t="s">
        <v>551</v>
      </c>
      <c r="U66" s="2" t="s">
        <v>27</v>
      </c>
      <c r="V66" s="4" t="s">
        <v>27</v>
      </c>
      <c r="W66" s="4" t="s">
        <v>27</v>
      </c>
      <c r="X66" s="4" t="s">
        <v>27</v>
      </c>
      <c r="Y66" s="4" t="s">
        <v>551</v>
      </c>
      <c r="Z66" s="28" t="s">
        <v>27</v>
      </c>
      <c r="AA66" s="5" t="s">
        <v>27</v>
      </c>
      <c r="AB66" s="5" t="s">
        <v>27</v>
      </c>
      <c r="AC66" s="5" t="s">
        <v>27</v>
      </c>
      <c r="AD66" s="6" t="s">
        <v>551</v>
      </c>
    </row>
    <row r="67" spans="1:30" ht="30" x14ac:dyDescent="0.25">
      <c r="A67" s="55" t="s">
        <v>204</v>
      </c>
      <c r="B67" s="2">
        <v>1</v>
      </c>
      <c r="C67" s="2">
        <v>1</v>
      </c>
      <c r="D67" s="4" t="s">
        <v>183</v>
      </c>
      <c r="E67" s="2">
        <v>6</v>
      </c>
      <c r="F67" s="3" t="s">
        <v>27</v>
      </c>
      <c r="G67" s="3" t="s">
        <v>205</v>
      </c>
      <c r="H67" s="28" t="s">
        <v>27</v>
      </c>
      <c r="I67" s="3" t="s">
        <v>27</v>
      </c>
      <c r="J67" s="2">
        <v>3</v>
      </c>
      <c r="K67" s="4" t="s">
        <v>186</v>
      </c>
      <c r="L67" s="28" t="s">
        <v>27</v>
      </c>
      <c r="M67" s="28" t="s">
        <v>27</v>
      </c>
      <c r="N67" s="28" t="s">
        <v>27</v>
      </c>
      <c r="O67" s="28" t="s">
        <v>27</v>
      </c>
      <c r="P67" s="56" t="s">
        <v>27</v>
      </c>
      <c r="Q67" s="56" t="s">
        <v>27</v>
      </c>
      <c r="R67" s="56" t="s">
        <v>27</v>
      </c>
      <c r="S67" s="4" t="s">
        <v>551</v>
      </c>
      <c r="T67" s="2" t="s">
        <v>27</v>
      </c>
      <c r="U67" s="2" t="s">
        <v>27</v>
      </c>
      <c r="V67" s="4" t="s">
        <v>551</v>
      </c>
      <c r="W67" s="4" t="s">
        <v>551</v>
      </c>
      <c r="X67" s="4" t="s">
        <v>27</v>
      </c>
      <c r="Y67" s="4" t="s">
        <v>27</v>
      </c>
      <c r="Z67" s="28" t="s">
        <v>27</v>
      </c>
      <c r="AA67" s="5" t="s">
        <v>27</v>
      </c>
      <c r="AB67" s="5" t="s">
        <v>551</v>
      </c>
      <c r="AC67" s="5" t="s">
        <v>551</v>
      </c>
      <c r="AD67" s="6" t="s">
        <v>27</v>
      </c>
    </row>
    <row r="68" spans="1:30" ht="30" x14ac:dyDescent="0.25">
      <c r="A68" s="55" t="s">
        <v>211</v>
      </c>
      <c r="B68" s="2">
        <v>1</v>
      </c>
      <c r="C68" s="2">
        <v>1</v>
      </c>
      <c r="D68" s="4" t="s">
        <v>183</v>
      </c>
      <c r="E68" s="2">
        <v>6</v>
      </c>
      <c r="F68" s="3" t="s">
        <v>27</v>
      </c>
      <c r="G68" s="3" t="s">
        <v>455</v>
      </c>
      <c r="H68" s="28" t="s">
        <v>454</v>
      </c>
      <c r="I68" s="3" t="s">
        <v>212</v>
      </c>
      <c r="J68" s="2">
        <v>1</v>
      </c>
      <c r="K68" s="4" t="s">
        <v>186</v>
      </c>
      <c r="L68" s="28" t="s">
        <v>27</v>
      </c>
      <c r="M68" s="28" t="s">
        <v>27</v>
      </c>
      <c r="N68" s="28" t="s">
        <v>27</v>
      </c>
      <c r="O68" s="28" t="s">
        <v>27</v>
      </c>
      <c r="P68" s="56" t="s">
        <v>27</v>
      </c>
      <c r="Q68" s="56" t="s">
        <v>27</v>
      </c>
      <c r="R68" s="56" t="s">
        <v>27</v>
      </c>
      <c r="S68" s="4" t="s">
        <v>552</v>
      </c>
      <c r="T68" s="2" t="s">
        <v>552</v>
      </c>
      <c r="U68" s="2" t="s">
        <v>552</v>
      </c>
      <c r="V68" s="4" t="s">
        <v>27</v>
      </c>
      <c r="W68" s="4" t="s">
        <v>27</v>
      </c>
      <c r="X68" s="4" t="s">
        <v>27</v>
      </c>
      <c r="Y68" s="4" t="s">
        <v>27</v>
      </c>
      <c r="Z68" s="28" t="s">
        <v>27</v>
      </c>
      <c r="AA68" s="5" t="s">
        <v>551</v>
      </c>
      <c r="AB68" s="5" t="s">
        <v>27</v>
      </c>
      <c r="AC68" s="5" t="s">
        <v>27</v>
      </c>
      <c r="AD68" s="6" t="s">
        <v>27</v>
      </c>
    </row>
    <row r="69" spans="1:30" ht="30" x14ac:dyDescent="0.25">
      <c r="A69" s="55" t="s">
        <v>200</v>
      </c>
      <c r="B69" s="2">
        <v>1</v>
      </c>
      <c r="C69" s="2">
        <v>1</v>
      </c>
      <c r="D69" s="4" t="s">
        <v>183</v>
      </c>
      <c r="E69" s="2">
        <v>7</v>
      </c>
      <c r="F69" s="3" t="s">
        <v>27</v>
      </c>
      <c r="G69" s="3" t="s">
        <v>179</v>
      </c>
      <c r="H69" s="28" t="s">
        <v>27</v>
      </c>
      <c r="I69" s="3" t="s">
        <v>201</v>
      </c>
      <c r="J69" s="2">
        <v>2</v>
      </c>
      <c r="K69" s="4" t="s">
        <v>186</v>
      </c>
      <c r="L69" s="28" t="s">
        <v>27</v>
      </c>
      <c r="M69" s="28" t="s">
        <v>27</v>
      </c>
      <c r="N69" s="28" t="s">
        <v>27</v>
      </c>
      <c r="O69" s="28" t="s">
        <v>27</v>
      </c>
      <c r="P69" s="56" t="s">
        <v>27</v>
      </c>
      <c r="Q69" s="56" t="s">
        <v>27</v>
      </c>
      <c r="R69" s="56" t="s">
        <v>27</v>
      </c>
      <c r="S69" s="4" t="s">
        <v>551</v>
      </c>
      <c r="T69" s="2" t="s">
        <v>27</v>
      </c>
      <c r="U69" s="2" t="s">
        <v>551</v>
      </c>
      <c r="V69" s="4" t="s">
        <v>27</v>
      </c>
      <c r="W69" s="4" t="s">
        <v>27</v>
      </c>
      <c r="X69" s="4" t="s">
        <v>551</v>
      </c>
      <c r="Y69" s="4" t="s">
        <v>27</v>
      </c>
      <c r="Z69" s="28" t="s">
        <v>27</v>
      </c>
      <c r="AA69" s="5" t="s">
        <v>551</v>
      </c>
      <c r="AB69" s="5" t="s">
        <v>27</v>
      </c>
      <c r="AC69" s="5" t="s">
        <v>27</v>
      </c>
      <c r="AD69" s="6" t="s">
        <v>27</v>
      </c>
    </row>
    <row r="70" spans="1:30" ht="30" x14ac:dyDescent="0.25">
      <c r="A70" s="55" t="s">
        <v>213</v>
      </c>
      <c r="B70" s="2">
        <v>1</v>
      </c>
      <c r="C70" s="2">
        <v>1</v>
      </c>
      <c r="D70" s="4" t="s">
        <v>183</v>
      </c>
      <c r="E70" s="2">
        <v>8</v>
      </c>
      <c r="F70" s="3" t="s">
        <v>214</v>
      </c>
      <c r="G70" s="3" t="s">
        <v>215</v>
      </c>
      <c r="H70" s="28" t="s">
        <v>27</v>
      </c>
      <c r="I70" s="3" t="s">
        <v>216</v>
      </c>
      <c r="J70" s="2">
        <v>0</v>
      </c>
      <c r="K70" s="4" t="s">
        <v>186</v>
      </c>
      <c r="L70" s="28" t="s">
        <v>27</v>
      </c>
      <c r="M70" s="28" t="s">
        <v>27</v>
      </c>
      <c r="N70" s="28" t="s">
        <v>27</v>
      </c>
      <c r="O70" s="28" t="s">
        <v>27</v>
      </c>
      <c r="P70" s="56" t="s">
        <v>27</v>
      </c>
      <c r="Q70" s="56" t="s">
        <v>27</v>
      </c>
      <c r="R70" s="56" t="s">
        <v>27</v>
      </c>
      <c r="S70" s="4" t="s">
        <v>27</v>
      </c>
      <c r="T70" s="2" t="s">
        <v>551</v>
      </c>
      <c r="U70" s="2" t="s">
        <v>551</v>
      </c>
      <c r="V70" s="4" t="s">
        <v>551</v>
      </c>
      <c r="W70" s="4" t="s">
        <v>551</v>
      </c>
      <c r="X70" s="4" t="s">
        <v>551</v>
      </c>
      <c r="Y70" s="4" t="s">
        <v>551</v>
      </c>
      <c r="Z70" s="28" t="s">
        <v>27</v>
      </c>
      <c r="AA70" s="5" t="s">
        <v>27</v>
      </c>
      <c r="AB70" s="5" t="s">
        <v>551</v>
      </c>
      <c r="AC70" s="5" t="s">
        <v>27</v>
      </c>
      <c r="AD70" s="6" t="s">
        <v>27</v>
      </c>
    </row>
    <row r="71" spans="1:30" ht="30" x14ac:dyDescent="0.25">
      <c r="A71" s="13" t="s">
        <v>120</v>
      </c>
      <c r="B71" s="4">
        <v>1</v>
      </c>
      <c r="C71" s="4">
        <v>1</v>
      </c>
      <c r="D71" s="4" t="s">
        <v>117</v>
      </c>
      <c r="E71" s="4">
        <v>1</v>
      </c>
      <c r="F71" s="3" t="s">
        <v>27</v>
      </c>
      <c r="G71" s="3" t="s">
        <v>121</v>
      </c>
      <c r="H71" s="28" t="s">
        <v>27</v>
      </c>
      <c r="I71" s="3" t="s">
        <v>27</v>
      </c>
      <c r="J71" s="4">
        <v>1</v>
      </c>
      <c r="K71" s="4">
        <v>1</v>
      </c>
      <c r="L71" s="28" t="s">
        <v>27</v>
      </c>
      <c r="M71" s="28" t="s">
        <v>27</v>
      </c>
      <c r="N71" s="28" t="s">
        <v>27</v>
      </c>
      <c r="O71" s="28" t="s">
        <v>27</v>
      </c>
      <c r="P71" s="56" t="s">
        <v>27</v>
      </c>
      <c r="Q71" s="56" t="s">
        <v>27</v>
      </c>
      <c r="R71" s="28" t="s">
        <v>551</v>
      </c>
      <c r="S71" s="4" t="s">
        <v>27</v>
      </c>
      <c r="T71" s="4" t="s">
        <v>551</v>
      </c>
      <c r="U71" s="4" t="s">
        <v>27</v>
      </c>
      <c r="V71" s="4" t="s">
        <v>27</v>
      </c>
      <c r="W71" s="4" t="s">
        <v>27</v>
      </c>
      <c r="X71" s="4" t="s">
        <v>27</v>
      </c>
      <c r="Y71" s="4" t="s">
        <v>27</v>
      </c>
      <c r="Z71" s="28" t="s">
        <v>27</v>
      </c>
      <c r="AA71" s="6" t="s">
        <v>27</v>
      </c>
      <c r="AB71" s="6" t="s">
        <v>27</v>
      </c>
      <c r="AC71" s="6" t="s">
        <v>27</v>
      </c>
      <c r="AD71" s="6" t="s">
        <v>27</v>
      </c>
    </row>
    <row r="72" spans="1:30" ht="30" x14ac:dyDescent="0.25">
      <c r="A72" s="13" t="s">
        <v>122</v>
      </c>
      <c r="B72" s="4">
        <v>1</v>
      </c>
      <c r="C72" s="4">
        <v>1</v>
      </c>
      <c r="D72" s="4" t="s">
        <v>117</v>
      </c>
      <c r="E72" s="4">
        <v>1</v>
      </c>
      <c r="F72" s="3" t="s">
        <v>27</v>
      </c>
      <c r="G72" s="3" t="s">
        <v>27</v>
      </c>
      <c r="H72" s="28" t="s">
        <v>27</v>
      </c>
      <c r="I72" s="61" t="s">
        <v>45</v>
      </c>
      <c r="J72" s="4" t="s">
        <v>27</v>
      </c>
      <c r="K72" s="4" t="s">
        <v>27</v>
      </c>
      <c r="L72" s="28" t="s">
        <v>27</v>
      </c>
      <c r="M72" s="28" t="s">
        <v>27</v>
      </c>
      <c r="N72" s="28" t="s">
        <v>27</v>
      </c>
      <c r="O72" s="28" t="s">
        <v>27</v>
      </c>
      <c r="P72" s="56" t="s">
        <v>27</v>
      </c>
      <c r="Q72" s="56" t="s">
        <v>551</v>
      </c>
      <c r="R72" s="27" t="s">
        <v>551</v>
      </c>
      <c r="S72" s="4" t="s">
        <v>27</v>
      </c>
      <c r="T72" s="4" t="s">
        <v>27</v>
      </c>
      <c r="U72" s="4" t="s">
        <v>551</v>
      </c>
      <c r="V72" s="4" t="s">
        <v>27</v>
      </c>
      <c r="W72" s="4" t="s">
        <v>27</v>
      </c>
      <c r="X72" s="4" t="s">
        <v>27</v>
      </c>
      <c r="Y72" s="4" t="s">
        <v>27</v>
      </c>
      <c r="Z72" s="27" t="s">
        <v>27</v>
      </c>
      <c r="AA72" s="6" t="s">
        <v>27</v>
      </c>
      <c r="AB72" s="6" t="s">
        <v>27</v>
      </c>
      <c r="AC72" s="6" t="s">
        <v>27</v>
      </c>
      <c r="AD72" s="6" t="s">
        <v>27</v>
      </c>
    </row>
    <row r="73" spans="1:30" ht="30" x14ac:dyDescent="0.25">
      <c r="A73" s="13" t="s">
        <v>176</v>
      </c>
      <c r="B73" s="4">
        <v>1</v>
      </c>
      <c r="C73" s="4">
        <v>1</v>
      </c>
      <c r="D73" s="4" t="s">
        <v>117</v>
      </c>
      <c r="E73" s="4">
        <v>1</v>
      </c>
      <c r="F73" s="3" t="s">
        <v>41</v>
      </c>
      <c r="G73" s="3" t="s">
        <v>27</v>
      </c>
      <c r="H73" s="28" t="s">
        <v>27</v>
      </c>
      <c r="I73" s="3" t="s">
        <v>51</v>
      </c>
      <c r="J73" s="4" t="s">
        <v>27</v>
      </c>
      <c r="K73" s="4" t="s">
        <v>27</v>
      </c>
      <c r="L73" s="28" t="s">
        <v>27</v>
      </c>
      <c r="M73" s="28" t="s">
        <v>27</v>
      </c>
      <c r="N73" s="28" t="s">
        <v>27</v>
      </c>
      <c r="O73" s="28" t="s">
        <v>27</v>
      </c>
      <c r="P73" s="56" t="s">
        <v>27</v>
      </c>
      <c r="Q73" s="56" t="s">
        <v>551</v>
      </c>
      <c r="R73" s="27" t="s">
        <v>27</v>
      </c>
      <c r="S73" s="4" t="s">
        <v>27</v>
      </c>
      <c r="T73" s="4" t="s">
        <v>27</v>
      </c>
      <c r="U73" s="4" t="s">
        <v>27</v>
      </c>
      <c r="V73" s="4" t="s">
        <v>27</v>
      </c>
      <c r="W73" s="4" t="s">
        <v>27</v>
      </c>
      <c r="X73" s="4" t="s">
        <v>27</v>
      </c>
      <c r="Y73" s="4" t="s">
        <v>27</v>
      </c>
      <c r="Z73" s="27" t="s">
        <v>27</v>
      </c>
      <c r="AA73" s="6" t="s">
        <v>27</v>
      </c>
      <c r="AB73" s="6" t="s">
        <v>27</v>
      </c>
      <c r="AC73" s="6" t="s">
        <v>27</v>
      </c>
      <c r="AD73" s="6" t="s">
        <v>27</v>
      </c>
    </row>
    <row r="74" spans="1:30" ht="30" x14ac:dyDescent="0.25">
      <c r="A74" s="13" t="s">
        <v>123</v>
      </c>
      <c r="B74" s="4">
        <v>1</v>
      </c>
      <c r="C74" s="4">
        <v>1</v>
      </c>
      <c r="D74" s="4" t="s">
        <v>117</v>
      </c>
      <c r="E74" s="4">
        <v>2</v>
      </c>
      <c r="F74" s="3" t="s">
        <v>27</v>
      </c>
      <c r="G74" s="3" t="s">
        <v>124</v>
      </c>
      <c r="H74" s="28" t="s">
        <v>27</v>
      </c>
      <c r="I74" s="3" t="s">
        <v>27</v>
      </c>
      <c r="J74" s="4">
        <v>1</v>
      </c>
      <c r="K74" s="4">
        <v>1</v>
      </c>
      <c r="L74" s="28" t="s">
        <v>27</v>
      </c>
      <c r="M74" s="28" t="s">
        <v>27</v>
      </c>
      <c r="N74" s="28" t="s">
        <v>27</v>
      </c>
      <c r="O74" s="28" t="s">
        <v>27</v>
      </c>
      <c r="P74" s="56" t="s">
        <v>27</v>
      </c>
      <c r="Q74" s="56" t="s">
        <v>27</v>
      </c>
      <c r="R74" s="28" t="s">
        <v>551</v>
      </c>
      <c r="S74" s="4" t="s">
        <v>27</v>
      </c>
      <c r="T74" s="4" t="s">
        <v>27</v>
      </c>
      <c r="U74" s="4" t="s">
        <v>27</v>
      </c>
      <c r="V74" s="4" t="s">
        <v>551</v>
      </c>
      <c r="W74" s="4" t="s">
        <v>27</v>
      </c>
      <c r="X74" s="4" t="s">
        <v>27</v>
      </c>
      <c r="Y74" s="4" t="s">
        <v>27</v>
      </c>
      <c r="Z74" s="28" t="s">
        <v>27</v>
      </c>
      <c r="AA74" s="6" t="s">
        <v>27</v>
      </c>
      <c r="AB74" s="6" t="s">
        <v>27</v>
      </c>
      <c r="AC74" s="6" t="s">
        <v>551</v>
      </c>
      <c r="AD74" s="6" t="s">
        <v>27</v>
      </c>
    </row>
    <row r="75" spans="1:30" ht="30" x14ac:dyDescent="0.25">
      <c r="A75" s="1" t="s">
        <v>146</v>
      </c>
      <c r="B75" s="2">
        <v>2</v>
      </c>
      <c r="C75" s="2">
        <v>2</v>
      </c>
      <c r="D75" s="4" t="s">
        <v>117</v>
      </c>
      <c r="E75" s="2">
        <v>2</v>
      </c>
      <c r="F75" s="3" t="s">
        <v>27</v>
      </c>
      <c r="G75" s="3" t="s">
        <v>147</v>
      </c>
      <c r="H75" s="28" t="s">
        <v>27</v>
      </c>
      <c r="I75" s="3" t="s">
        <v>148</v>
      </c>
      <c r="J75" s="2" t="s">
        <v>27</v>
      </c>
      <c r="K75" s="4" t="s">
        <v>27</v>
      </c>
      <c r="L75" s="28" t="s">
        <v>27</v>
      </c>
      <c r="M75" s="28" t="s">
        <v>27</v>
      </c>
      <c r="N75" s="28" t="s">
        <v>27</v>
      </c>
      <c r="O75" s="28" t="s">
        <v>27</v>
      </c>
      <c r="P75" s="56" t="s">
        <v>27</v>
      </c>
      <c r="Q75" s="56" t="s">
        <v>551</v>
      </c>
      <c r="R75" s="28" t="s">
        <v>27</v>
      </c>
      <c r="S75" s="4" t="s">
        <v>551</v>
      </c>
      <c r="T75" s="2" t="s">
        <v>551</v>
      </c>
      <c r="U75" s="2" t="s">
        <v>27</v>
      </c>
      <c r="V75" s="4" t="s">
        <v>27</v>
      </c>
      <c r="W75" s="4" t="s">
        <v>27</v>
      </c>
      <c r="X75" s="4" t="s">
        <v>27</v>
      </c>
      <c r="Y75" s="4" t="s">
        <v>27</v>
      </c>
      <c r="Z75" s="5" t="s">
        <v>27</v>
      </c>
      <c r="AA75" s="6" t="s">
        <v>551</v>
      </c>
      <c r="AB75" s="6" t="s">
        <v>27</v>
      </c>
      <c r="AC75" s="6" t="s">
        <v>27</v>
      </c>
      <c r="AD75" s="6" t="s">
        <v>27</v>
      </c>
    </row>
    <row r="76" spans="1:30" ht="30" x14ac:dyDescent="0.25">
      <c r="A76" s="1" t="s">
        <v>155</v>
      </c>
      <c r="B76" s="2">
        <v>1</v>
      </c>
      <c r="C76" s="2">
        <v>1</v>
      </c>
      <c r="D76" s="4" t="s">
        <v>117</v>
      </c>
      <c r="E76" s="2">
        <v>2</v>
      </c>
      <c r="F76" s="3" t="s">
        <v>27</v>
      </c>
      <c r="G76" s="3" t="s">
        <v>53</v>
      </c>
      <c r="H76" s="28" t="s">
        <v>27</v>
      </c>
      <c r="I76" s="3" t="s">
        <v>27</v>
      </c>
      <c r="J76" s="2">
        <v>1</v>
      </c>
      <c r="K76" s="4">
        <v>2</v>
      </c>
      <c r="L76" s="28" t="s">
        <v>27</v>
      </c>
      <c r="M76" s="28" t="s">
        <v>27</v>
      </c>
      <c r="N76" s="28" t="s">
        <v>27</v>
      </c>
      <c r="O76" s="28" t="s">
        <v>27</v>
      </c>
      <c r="P76" s="56" t="s">
        <v>27</v>
      </c>
      <c r="Q76" s="56" t="s">
        <v>27</v>
      </c>
      <c r="R76" s="28" t="s">
        <v>551</v>
      </c>
      <c r="S76" s="4" t="s">
        <v>27</v>
      </c>
      <c r="T76" s="2" t="s">
        <v>27</v>
      </c>
      <c r="U76" s="2" t="s">
        <v>27</v>
      </c>
      <c r="V76" s="4" t="s">
        <v>27</v>
      </c>
      <c r="W76" s="4" t="s">
        <v>27</v>
      </c>
      <c r="X76" s="4" t="s">
        <v>27</v>
      </c>
      <c r="Y76" s="4" t="s">
        <v>551</v>
      </c>
      <c r="Z76" s="5" t="s">
        <v>27</v>
      </c>
      <c r="AA76" s="6" t="s">
        <v>27</v>
      </c>
      <c r="AB76" s="6" t="s">
        <v>27</v>
      </c>
      <c r="AC76" s="6" t="s">
        <v>27</v>
      </c>
      <c r="AD76" s="6" t="s">
        <v>551</v>
      </c>
    </row>
    <row r="77" spans="1:30" ht="30" x14ac:dyDescent="0.25">
      <c r="A77" s="13" t="s">
        <v>125</v>
      </c>
      <c r="B77" s="4">
        <v>1</v>
      </c>
      <c r="C77" s="4">
        <v>1</v>
      </c>
      <c r="D77" s="4" t="s">
        <v>117</v>
      </c>
      <c r="E77" s="4">
        <v>3</v>
      </c>
      <c r="F77" s="3" t="s">
        <v>27</v>
      </c>
      <c r="G77" s="3" t="s">
        <v>126</v>
      </c>
      <c r="H77" s="28" t="s">
        <v>27</v>
      </c>
      <c r="I77" s="3" t="s">
        <v>27</v>
      </c>
      <c r="J77" s="4">
        <v>1</v>
      </c>
      <c r="K77" s="4">
        <v>1</v>
      </c>
      <c r="L77" s="28" t="s">
        <v>27</v>
      </c>
      <c r="M77" s="28" t="s">
        <v>27</v>
      </c>
      <c r="N77" s="28" t="s">
        <v>551</v>
      </c>
      <c r="O77" s="28" t="s">
        <v>27</v>
      </c>
      <c r="P77" s="56" t="s">
        <v>27</v>
      </c>
      <c r="Q77" s="56" t="s">
        <v>27</v>
      </c>
      <c r="R77" s="28" t="s">
        <v>27</v>
      </c>
      <c r="S77" s="4" t="s">
        <v>27</v>
      </c>
      <c r="T77" s="4" t="s">
        <v>27</v>
      </c>
      <c r="U77" s="4" t="s">
        <v>551</v>
      </c>
      <c r="V77" s="4" t="s">
        <v>27</v>
      </c>
      <c r="W77" s="4" t="s">
        <v>27</v>
      </c>
      <c r="X77" s="4" t="s">
        <v>27</v>
      </c>
      <c r="Y77" s="4" t="s">
        <v>27</v>
      </c>
      <c r="Z77" s="5" t="s">
        <v>27</v>
      </c>
      <c r="AA77" s="6" t="s">
        <v>27</v>
      </c>
      <c r="AB77" s="6" t="s">
        <v>27</v>
      </c>
      <c r="AC77" s="6" t="s">
        <v>27</v>
      </c>
      <c r="AD77" s="6" t="s">
        <v>551</v>
      </c>
    </row>
    <row r="78" spans="1:30" ht="30" customHeight="1" x14ac:dyDescent="0.25">
      <c r="A78" s="13" t="s">
        <v>144</v>
      </c>
      <c r="B78" s="4">
        <v>1</v>
      </c>
      <c r="C78" s="4">
        <v>1</v>
      </c>
      <c r="D78" s="4" t="s">
        <v>117</v>
      </c>
      <c r="E78" s="4">
        <v>3</v>
      </c>
      <c r="F78" s="3" t="s">
        <v>27</v>
      </c>
      <c r="G78" s="3" t="s">
        <v>27</v>
      </c>
      <c r="H78" s="28" t="s">
        <v>27</v>
      </c>
      <c r="I78" s="3" t="s">
        <v>145</v>
      </c>
      <c r="J78" s="4">
        <v>1</v>
      </c>
      <c r="K78" s="4">
        <v>2</v>
      </c>
      <c r="L78" s="28" t="s">
        <v>27</v>
      </c>
      <c r="M78" s="28" t="s">
        <v>27</v>
      </c>
      <c r="N78" s="28" t="s">
        <v>27</v>
      </c>
      <c r="O78" s="28" t="s">
        <v>27</v>
      </c>
      <c r="P78" s="56" t="s">
        <v>27</v>
      </c>
      <c r="Q78" s="56" t="s">
        <v>27</v>
      </c>
      <c r="R78" s="28" t="s">
        <v>27</v>
      </c>
      <c r="S78" s="4" t="s">
        <v>27</v>
      </c>
      <c r="T78" s="4" t="s">
        <v>27</v>
      </c>
      <c r="U78" s="4" t="s">
        <v>27</v>
      </c>
      <c r="V78" s="4" t="s">
        <v>27</v>
      </c>
      <c r="W78" s="4" t="s">
        <v>27</v>
      </c>
      <c r="X78" s="4" t="s">
        <v>27</v>
      </c>
      <c r="Y78" s="4" t="s">
        <v>27</v>
      </c>
      <c r="Z78" s="5" t="s">
        <v>27</v>
      </c>
      <c r="AA78" s="6" t="s">
        <v>27</v>
      </c>
      <c r="AB78" s="6" t="s">
        <v>27</v>
      </c>
      <c r="AC78" s="6" t="s">
        <v>551</v>
      </c>
      <c r="AD78" s="6" t="s">
        <v>27</v>
      </c>
    </row>
    <row r="79" spans="1:30" ht="30" x14ac:dyDescent="0.25">
      <c r="A79" s="1" t="s">
        <v>157</v>
      </c>
      <c r="B79" s="2">
        <v>1</v>
      </c>
      <c r="C79" s="2">
        <v>1</v>
      </c>
      <c r="D79" s="4" t="s">
        <v>117</v>
      </c>
      <c r="E79" s="2">
        <v>3</v>
      </c>
      <c r="F79" s="3" t="s">
        <v>27</v>
      </c>
      <c r="G79" s="3" t="s">
        <v>158</v>
      </c>
      <c r="H79" s="28" t="s">
        <v>27</v>
      </c>
      <c r="I79" s="3" t="s">
        <v>27</v>
      </c>
      <c r="J79" s="2">
        <v>2</v>
      </c>
      <c r="K79" s="4" t="s">
        <v>27</v>
      </c>
      <c r="L79" s="28" t="s">
        <v>27</v>
      </c>
      <c r="M79" s="28" t="s">
        <v>27</v>
      </c>
      <c r="N79" s="28" t="s">
        <v>27</v>
      </c>
      <c r="O79" s="28" t="s">
        <v>27</v>
      </c>
      <c r="P79" s="56" t="s">
        <v>27</v>
      </c>
      <c r="Q79" s="56" t="s">
        <v>27</v>
      </c>
      <c r="R79" s="27" t="s">
        <v>27</v>
      </c>
      <c r="S79" s="4" t="s">
        <v>27</v>
      </c>
      <c r="T79" s="2" t="s">
        <v>551</v>
      </c>
      <c r="U79" s="2" t="s">
        <v>27</v>
      </c>
      <c r="V79" s="4" t="s">
        <v>27</v>
      </c>
      <c r="W79" s="4" t="s">
        <v>27</v>
      </c>
      <c r="X79" s="4" t="s">
        <v>27</v>
      </c>
      <c r="Y79" s="4" t="s">
        <v>27</v>
      </c>
      <c r="Z79" s="6" t="s">
        <v>27</v>
      </c>
      <c r="AA79" s="6" t="s">
        <v>27</v>
      </c>
      <c r="AB79" s="6" t="s">
        <v>27</v>
      </c>
      <c r="AC79" s="6" t="s">
        <v>27</v>
      </c>
      <c r="AD79" s="6" t="s">
        <v>27</v>
      </c>
    </row>
    <row r="80" spans="1:30" ht="30" x14ac:dyDescent="0.25">
      <c r="A80" s="1" t="s">
        <v>164</v>
      </c>
      <c r="B80" s="2">
        <v>1</v>
      </c>
      <c r="C80" s="2">
        <v>1</v>
      </c>
      <c r="D80" s="4" t="s">
        <v>117</v>
      </c>
      <c r="E80" s="2">
        <v>3</v>
      </c>
      <c r="F80" s="3" t="s">
        <v>27</v>
      </c>
      <c r="G80" s="3" t="s">
        <v>165</v>
      </c>
      <c r="H80" s="28" t="s">
        <v>27</v>
      </c>
      <c r="I80" s="3" t="s">
        <v>27</v>
      </c>
      <c r="J80" s="2" t="s">
        <v>27</v>
      </c>
      <c r="K80" s="4" t="s">
        <v>27</v>
      </c>
      <c r="L80" s="60" t="s">
        <v>447</v>
      </c>
      <c r="M80" s="28" t="s">
        <v>27</v>
      </c>
      <c r="N80" s="28" t="s">
        <v>27</v>
      </c>
      <c r="O80" s="28" t="s">
        <v>27</v>
      </c>
      <c r="P80" s="56" t="s">
        <v>27</v>
      </c>
      <c r="Q80" s="56" t="s">
        <v>27</v>
      </c>
      <c r="R80" s="28" t="s">
        <v>27</v>
      </c>
      <c r="S80" s="4" t="s">
        <v>27</v>
      </c>
      <c r="T80" s="2" t="s">
        <v>27</v>
      </c>
      <c r="U80" s="2" t="s">
        <v>27</v>
      </c>
      <c r="V80" s="4" t="s">
        <v>27</v>
      </c>
      <c r="W80" s="4" t="s">
        <v>27</v>
      </c>
      <c r="X80" s="4" t="s">
        <v>551</v>
      </c>
      <c r="Y80" s="4" t="s">
        <v>551</v>
      </c>
      <c r="Z80" s="5" t="s">
        <v>27</v>
      </c>
      <c r="AA80" s="5" t="s">
        <v>551</v>
      </c>
      <c r="AB80" s="5" t="s">
        <v>27</v>
      </c>
      <c r="AC80" s="5" t="s">
        <v>27</v>
      </c>
      <c r="AD80" s="5" t="s">
        <v>551</v>
      </c>
    </row>
    <row r="81" spans="1:30" ht="30" x14ac:dyDescent="0.25">
      <c r="A81" s="1" t="s">
        <v>174</v>
      </c>
      <c r="B81" s="2">
        <v>2</v>
      </c>
      <c r="C81" s="2">
        <v>2</v>
      </c>
      <c r="D81" s="4" t="s">
        <v>117</v>
      </c>
      <c r="E81" s="2">
        <v>3</v>
      </c>
      <c r="F81" s="3" t="s">
        <v>27</v>
      </c>
      <c r="G81" s="3" t="s">
        <v>175</v>
      </c>
      <c r="H81" s="28" t="s">
        <v>27</v>
      </c>
      <c r="I81" s="3" t="s">
        <v>27</v>
      </c>
      <c r="J81" s="2">
        <v>1</v>
      </c>
      <c r="K81" s="4">
        <v>1</v>
      </c>
      <c r="L81" s="28" t="s">
        <v>27</v>
      </c>
      <c r="M81" s="28" t="s">
        <v>27</v>
      </c>
      <c r="N81" s="28" t="s">
        <v>27</v>
      </c>
      <c r="O81" s="28" t="s">
        <v>27</v>
      </c>
      <c r="P81" s="56" t="s">
        <v>27</v>
      </c>
      <c r="Q81" s="56" t="s">
        <v>27</v>
      </c>
      <c r="R81" s="28" t="s">
        <v>27</v>
      </c>
      <c r="S81" s="4" t="s">
        <v>551</v>
      </c>
      <c r="T81" s="2" t="s">
        <v>27</v>
      </c>
      <c r="U81" s="2" t="s">
        <v>27</v>
      </c>
      <c r="V81" s="4" t="s">
        <v>551</v>
      </c>
      <c r="W81" s="4" t="s">
        <v>27</v>
      </c>
      <c r="X81" s="4" t="s">
        <v>551</v>
      </c>
      <c r="Y81" s="4" t="s">
        <v>27</v>
      </c>
      <c r="Z81" s="5" t="s">
        <v>27</v>
      </c>
      <c r="AA81" s="5" t="s">
        <v>551</v>
      </c>
      <c r="AB81" s="5" t="s">
        <v>27</v>
      </c>
      <c r="AC81" s="5" t="s">
        <v>551</v>
      </c>
      <c r="AD81" s="5" t="s">
        <v>27</v>
      </c>
    </row>
    <row r="82" spans="1:30" ht="30" x14ac:dyDescent="0.25">
      <c r="A82" s="1" t="s">
        <v>180</v>
      </c>
      <c r="B82" s="2">
        <v>1</v>
      </c>
      <c r="C82" s="2">
        <v>1</v>
      </c>
      <c r="D82" s="4" t="s">
        <v>117</v>
      </c>
      <c r="E82" s="2">
        <v>3</v>
      </c>
      <c r="F82" s="3" t="s">
        <v>27</v>
      </c>
      <c r="G82" s="3" t="s">
        <v>181</v>
      </c>
      <c r="H82" s="28" t="s">
        <v>27</v>
      </c>
      <c r="I82" s="3" t="s">
        <v>27</v>
      </c>
      <c r="J82" s="2">
        <v>1</v>
      </c>
      <c r="K82" s="4">
        <v>2</v>
      </c>
      <c r="L82" s="28" t="s">
        <v>27</v>
      </c>
      <c r="M82" s="28" t="s">
        <v>27</v>
      </c>
      <c r="N82" s="28" t="s">
        <v>551</v>
      </c>
      <c r="O82" s="28" t="s">
        <v>27</v>
      </c>
      <c r="P82" s="56" t="s">
        <v>27</v>
      </c>
      <c r="Q82" s="56" t="s">
        <v>27</v>
      </c>
      <c r="R82" s="28" t="s">
        <v>27</v>
      </c>
      <c r="S82" s="4" t="s">
        <v>27</v>
      </c>
      <c r="T82" s="2" t="s">
        <v>551</v>
      </c>
      <c r="U82" s="2" t="s">
        <v>551</v>
      </c>
      <c r="V82" s="4" t="s">
        <v>27</v>
      </c>
      <c r="W82" s="4" t="s">
        <v>27</v>
      </c>
      <c r="X82" s="4" t="s">
        <v>27</v>
      </c>
      <c r="Y82" s="4" t="s">
        <v>27</v>
      </c>
      <c r="Z82" s="5" t="s">
        <v>27</v>
      </c>
      <c r="AA82" s="6" t="s">
        <v>551</v>
      </c>
      <c r="AB82" s="6" t="s">
        <v>27</v>
      </c>
      <c r="AC82" s="6" t="s">
        <v>27</v>
      </c>
      <c r="AD82" s="6" t="s">
        <v>27</v>
      </c>
    </row>
    <row r="83" spans="1:30" ht="30" x14ac:dyDescent="0.25">
      <c r="A83" s="13" t="s">
        <v>141</v>
      </c>
      <c r="B83" s="4">
        <v>1</v>
      </c>
      <c r="C83" s="4">
        <v>1</v>
      </c>
      <c r="D83" s="4" t="s">
        <v>117</v>
      </c>
      <c r="E83" s="4">
        <v>4</v>
      </c>
      <c r="F83" s="3" t="s">
        <v>27</v>
      </c>
      <c r="G83" s="3" t="s">
        <v>142</v>
      </c>
      <c r="H83" s="28" t="s">
        <v>27</v>
      </c>
      <c r="I83" s="3" t="s">
        <v>143</v>
      </c>
      <c r="J83" s="4">
        <v>1</v>
      </c>
      <c r="K83" s="4">
        <v>2</v>
      </c>
      <c r="L83" s="28" t="s">
        <v>27</v>
      </c>
      <c r="M83" s="28" t="s">
        <v>27</v>
      </c>
      <c r="N83" s="28" t="s">
        <v>27</v>
      </c>
      <c r="O83" s="28" t="s">
        <v>27</v>
      </c>
      <c r="P83" s="56" t="s">
        <v>27</v>
      </c>
      <c r="Q83" s="56" t="s">
        <v>27</v>
      </c>
      <c r="R83" s="28" t="s">
        <v>27</v>
      </c>
      <c r="S83" s="4" t="s">
        <v>27</v>
      </c>
      <c r="T83" s="4" t="s">
        <v>551</v>
      </c>
      <c r="U83" s="4" t="s">
        <v>27</v>
      </c>
      <c r="V83" s="4" t="s">
        <v>27</v>
      </c>
      <c r="W83" s="4" t="s">
        <v>27</v>
      </c>
      <c r="X83" s="4" t="s">
        <v>27</v>
      </c>
      <c r="Y83" s="4" t="s">
        <v>27</v>
      </c>
      <c r="Z83" s="5" t="s">
        <v>27</v>
      </c>
      <c r="AA83" s="6" t="s">
        <v>27</v>
      </c>
      <c r="AB83" s="6" t="s">
        <v>27</v>
      </c>
      <c r="AC83" s="6" t="s">
        <v>551</v>
      </c>
      <c r="AD83" s="6" t="s">
        <v>27</v>
      </c>
    </row>
    <row r="84" spans="1:30" ht="30" x14ac:dyDescent="0.25">
      <c r="A84" s="13" t="s">
        <v>131</v>
      </c>
      <c r="B84" s="4">
        <v>2</v>
      </c>
      <c r="C84" s="4">
        <v>2</v>
      </c>
      <c r="D84" s="4" t="s">
        <v>117</v>
      </c>
      <c r="E84" s="4">
        <v>2</v>
      </c>
      <c r="F84" s="3" t="s">
        <v>27</v>
      </c>
      <c r="G84" s="3" t="s">
        <v>27</v>
      </c>
      <c r="H84" s="28" t="s">
        <v>27</v>
      </c>
      <c r="I84" s="3" t="s">
        <v>132</v>
      </c>
      <c r="J84" s="4" t="s">
        <v>27</v>
      </c>
      <c r="K84" s="4" t="s">
        <v>27</v>
      </c>
      <c r="L84" s="28" t="s">
        <v>27</v>
      </c>
      <c r="M84" s="28" t="s">
        <v>27</v>
      </c>
      <c r="N84" s="28" t="s">
        <v>27</v>
      </c>
      <c r="O84" s="28" t="s">
        <v>408</v>
      </c>
      <c r="P84" s="56" t="s">
        <v>27</v>
      </c>
      <c r="Q84" s="56" t="s">
        <v>551</v>
      </c>
      <c r="R84" s="28" t="s">
        <v>27</v>
      </c>
      <c r="S84" s="4" t="s">
        <v>27</v>
      </c>
      <c r="T84" s="4" t="s">
        <v>27</v>
      </c>
      <c r="U84" s="4" t="s">
        <v>551</v>
      </c>
      <c r="V84" s="4" t="s">
        <v>27</v>
      </c>
      <c r="W84" s="4" t="s">
        <v>27</v>
      </c>
      <c r="X84" s="4" t="s">
        <v>27</v>
      </c>
      <c r="Y84" s="4" t="s">
        <v>27</v>
      </c>
      <c r="Z84" s="5" t="s">
        <v>27</v>
      </c>
      <c r="AA84" s="6" t="s">
        <v>27</v>
      </c>
      <c r="AB84" s="6" t="s">
        <v>27</v>
      </c>
      <c r="AC84" s="6" t="s">
        <v>27</v>
      </c>
      <c r="AD84" s="6" t="s">
        <v>27</v>
      </c>
    </row>
    <row r="85" spans="1:30" ht="30" x14ac:dyDescent="0.25">
      <c r="A85" s="1" t="s">
        <v>159</v>
      </c>
      <c r="B85" s="2">
        <v>2</v>
      </c>
      <c r="C85" s="2">
        <v>2</v>
      </c>
      <c r="D85" s="4" t="s">
        <v>117</v>
      </c>
      <c r="E85" s="2">
        <v>4</v>
      </c>
      <c r="F85" s="3" t="s">
        <v>160</v>
      </c>
      <c r="G85" s="3" t="s">
        <v>27</v>
      </c>
      <c r="H85" s="28" t="s">
        <v>27</v>
      </c>
      <c r="I85" s="3" t="s">
        <v>161</v>
      </c>
      <c r="J85" s="2">
        <v>2</v>
      </c>
      <c r="K85" s="4" t="s">
        <v>27</v>
      </c>
      <c r="L85" s="28" t="s">
        <v>27</v>
      </c>
      <c r="M85" s="28" t="s">
        <v>27</v>
      </c>
      <c r="N85" s="28" t="s">
        <v>27</v>
      </c>
      <c r="O85" s="28" t="s">
        <v>27</v>
      </c>
      <c r="P85" s="56" t="s">
        <v>27</v>
      </c>
      <c r="Q85" s="56" t="s">
        <v>27</v>
      </c>
      <c r="R85" s="28" t="s">
        <v>27</v>
      </c>
      <c r="S85" s="4" t="s">
        <v>551</v>
      </c>
      <c r="T85" s="2" t="s">
        <v>551</v>
      </c>
      <c r="U85" s="2" t="s">
        <v>551</v>
      </c>
      <c r="V85" s="4" t="s">
        <v>27</v>
      </c>
      <c r="W85" s="4" t="s">
        <v>27</v>
      </c>
      <c r="X85" s="4" t="s">
        <v>27</v>
      </c>
      <c r="Y85" s="4" t="s">
        <v>27</v>
      </c>
      <c r="Z85" s="5" t="s">
        <v>27</v>
      </c>
      <c r="AA85" s="6" t="s">
        <v>27</v>
      </c>
      <c r="AB85" s="6" t="s">
        <v>27</v>
      </c>
      <c r="AC85" s="6" t="s">
        <v>27</v>
      </c>
      <c r="AD85" s="6" t="s">
        <v>27</v>
      </c>
    </row>
    <row r="86" spans="1:30" ht="30" x14ac:dyDescent="0.25">
      <c r="A86" s="1" t="s">
        <v>169</v>
      </c>
      <c r="B86" s="2">
        <v>1</v>
      </c>
      <c r="C86" s="2">
        <v>1</v>
      </c>
      <c r="D86" s="4" t="s">
        <v>117</v>
      </c>
      <c r="E86" s="2">
        <v>4</v>
      </c>
      <c r="F86" s="3" t="s">
        <v>27</v>
      </c>
      <c r="G86" s="3" t="s">
        <v>170</v>
      </c>
      <c r="H86" s="28" t="s">
        <v>27</v>
      </c>
      <c r="I86" s="3" t="s">
        <v>27</v>
      </c>
      <c r="J86" s="2">
        <v>2</v>
      </c>
      <c r="K86" s="4">
        <v>1</v>
      </c>
      <c r="L86" s="28" t="s">
        <v>27</v>
      </c>
      <c r="M86" s="28" t="s">
        <v>27</v>
      </c>
      <c r="N86" s="28" t="s">
        <v>27</v>
      </c>
      <c r="O86" s="28" t="s">
        <v>27</v>
      </c>
      <c r="P86" s="56" t="s">
        <v>27</v>
      </c>
      <c r="Q86" s="56" t="s">
        <v>27</v>
      </c>
      <c r="R86" s="28" t="s">
        <v>27</v>
      </c>
      <c r="S86" s="4" t="s">
        <v>27</v>
      </c>
      <c r="T86" s="2" t="s">
        <v>551</v>
      </c>
      <c r="U86" s="2" t="s">
        <v>551</v>
      </c>
      <c r="V86" s="4" t="s">
        <v>27</v>
      </c>
      <c r="W86" s="4" t="s">
        <v>27</v>
      </c>
      <c r="X86" s="4" t="s">
        <v>27</v>
      </c>
      <c r="Y86" s="4" t="s">
        <v>27</v>
      </c>
      <c r="Z86" s="5" t="s">
        <v>27</v>
      </c>
      <c r="AA86" s="6" t="s">
        <v>27</v>
      </c>
      <c r="AB86" s="6" t="s">
        <v>27</v>
      </c>
      <c r="AC86" s="6" t="s">
        <v>27</v>
      </c>
      <c r="AD86" s="6" t="s">
        <v>551</v>
      </c>
    </row>
    <row r="87" spans="1:30" ht="30" x14ac:dyDescent="0.25">
      <c r="A87" s="1" t="s">
        <v>177</v>
      </c>
      <c r="B87" s="2">
        <v>1</v>
      </c>
      <c r="C87" s="2">
        <v>1</v>
      </c>
      <c r="D87" s="4" t="s">
        <v>117</v>
      </c>
      <c r="E87" s="2">
        <v>4</v>
      </c>
      <c r="F87" s="3" t="s">
        <v>27</v>
      </c>
      <c r="G87" s="3" t="s">
        <v>178</v>
      </c>
      <c r="H87" s="28" t="s">
        <v>27</v>
      </c>
      <c r="I87" s="3" t="s">
        <v>179</v>
      </c>
      <c r="J87" s="2">
        <v>1</v>
      </c>
      <c r="K87" s="4" t="s">
        <v>27</v>
      </c>
      <c r="L87" s="28" t="s">
        <v>27</v>
      </c>
      <c r="M87" s="28" t="s">
        <v>27</v>
      </c>
      <c r="N87" s="28" t="s">
        <v>27</v>
      </c>
      <c r="O87" s="28" t="s">
        <v>27</v>
      </c>
      <c r="P87" s="56" t="s">
        <v>27</v>
      </c>
      <c r="Q87" s="56" t="s">
        <v>27</v>
      </c>
      <c r="R87" s="28" t="s">
        <v>551</v>
      </c>
      <c r="S87" s="4" t="s">
        <v>27</v>
      </c>
      <c r="T87" s="2" t="s">
        <v>27</v>
      </c>
      <c r="U87" s="2" t="s">
        <v>27</v>
      </c>
      <c r="V87" s="4" t="s">
        <v>27</v>
      </c>
      <c r="W87" s="4" t="s">
        <v>27</v>
      </c>
      <c r="X87" s="4" t="s">
        <v>551</v>
      </c>
      <c r="Y87" s="4" t="s">
        <v>27</v>
      </c>
      <c r="Z87" s="5" t="s">
        <v>27</v>
      </c>
      <c r="AA87" s="5" t="s">
        <v>551</v>
      </c>
      <c r="AB87" s="5" t="s">
        <v>27</v>
      </c>
      <c r="AC87" s="5" t="s">
        <v>27</v>
      </c>
      <c r="AD87" s="5" t="s">
        <v>27</v>
      </c>
    </row>
    <row r="88" spans="1:30" ht="30" customHeight="1" x14ac:dyDescent="0.25">
      <c r="A88" s="1" t="s">
        <v>149</v>
      </c>
      <c r="B88" s="2">
        <v>1</v>
      </c>
      <c r="C88" s="2">
        <v>1</v>
      </c>
      <c r="D88" s="4" t="s">
        <v>117</v>
      </c>
      <c r="E88" s="2">
        <v>3</v>
      </c>
      <c r="F88" s="3" t="s">
        <v>27</v>
      </c>
      <c r="G88" s="3" t="s">
        <v>150</v>
      </c>
      <c r="H88" s="28" t="s">
        <v>27</v>
      </c>
      <c r="I88" s="3" t="s">
        <v>151</v>
      </c>
      <c r="J88" s="2" t="s">
        <v>27</v>
      </c>
      <c r="K88" s="4" t="s">
        <v>27</v>
      </c>
      <c r="L88" s="28" t="s">
        <v>27</v>
      </c>
      <c r="M88" s="28" t="s">
        <v>27</v>
      </c>
      <c r="N88" s="28" t="s">
        <v>27</v>
      </c>
      <c r="O88" s="28" t="s">
        <v>408</v>
      </c>
      <c r="P88" s="56" t="s">
        <v>27</v>
      </c>
      <c r="Q88" s="56" t="s">
        <v>551</v>
      </c>
      <c r="R88" s="27" t="s">
        <v>27</v>
      </c>
      <c r="S88" s="4" t="s">
        <v>27</v>
      </c>
      <c r="T88" s="2" t="s">
        <v>27</v>
      </c>
      <c r="U88" s="2" t="s">
        <v>27</v>
      </c>
      <c r="V88" s="4" t="s">
        <v>27</v>
      </c>
      <c r="W88" s="4" t="s">
        <v>551</v>
      </c>
      <c r="X88" s="4" t="s">
        <v>27</v>
      </c>
      <c r="Y88" s="4" t="s">
        <v>27</v>
      </c>
      <c r="Z88" s="6" t="s">
        <v>27</v>
      </c>
      <c r="AA88" s="6" t="s">
        <v>27</v>
      </c>
      <c r="AB88" s="6" t="s">
        <v>551</v>
      </c>
      <c r="AC88" s="6" t="s">
        <v>27</v>
      </c>
      <c r="AD88" s="6" t="s">
        <v>27</v>
      </c>
    </row>
    <row r="89" spans="1:30" ht="30" x14ac:dyDescent="0.25">
      <c r="A89" s="13" t="s">
        <v>139</v>
      </c>
      <c r="B89" s="4">
        <v>1</v>
      </c>
      <c r="C89" s="4">
        <v>1</v>
      </c>
      <c r="D89" s="4" t="s">
        <v>117</v>
      </c>
      <c r="E89" s="4">
        <v>4</v>
      </c>
      <c r="F89" s="3" t="s">
        <v>27</v>
      </c>
      <c r="G89" s="3" t="s">
        <v>140</v>
      </c>
      <c r="H89" s="28" t="s">
        <v>27</v>
      </c>
      <c r="I89" s="3" t="s">
        <v>132</v>
      </c>
      <c r="J89" s="4">
        <v>1</v>
      </c>
      <c r="K89" s="4" t="s">
        <v>27</v>
      </c>
      <c r="L89" s="28" t="s">
        <v>27</v>
      </c>
      <c r="M89" s="28" t="s">
        <v>27</v>
      </c>
      <c r="N89" s="28" t="s">
        <v>27</v>
      </c>
      <c r="O89" s="28" t="s">
        <v>408</v>
      </c>
      <c r="P89" s="56" t="s">
        <v>27</v>
      </c>
      <c r="Q89" s="56" t="s">
        <v>27</v>
      </c>
      <c r="R89" s="27" t="s">
        <v>27</v>
      </c>
      <c r="S89" s="4" t="s">
        <v>27</v>
      </c>
      <c r="T89" s="4" t="s">
        <v>551</v>
      </c>
      <c r="U89" s="4" t="s">
        <v>551</v>
      </c>
      <c r="V89" s="4" t="s">
        <v>27</v>
      </c>
      <c r="W89" s="4" t="s">
        <v>551</v>
      </c>
      <c r="X89" s="4" t="s">
        <v>27</v>
      </c>
      <c r="Y89" s="4" t="s">
        <v>27</v>
      </c>
      <c r="Z89" s="6" t="s">
        <v>27</v>
      </c>
      <c r="AA89" s="6" t="s">
        <v>27</v>
      </c>
      <c r="AB89" s="6" t="s">
        <v>551</v>
      </c>
      <c r="AC89" s="6" t="s">
        <v>27</v>
      </c>
      <c r="AD89" s="6" t="s">
        <v>27</v>
      </c>
    </row>
    <row r="90" spans="1:30" ht="30" x14ac:dyDescent="0.25">
      <c r="A90" s="1" t="s">
        <v>156</v>
      </c>
      <c r="B90" s="2">
        <v>1</v>
      </c>
      <c r="C90" s="2">
        <v>1</v>
      </c>
      <c r="D90" s="4" t="s">
        <v>117</v>
      </c>
      <c r="E90" s="2">
        <v>4</v>
      </c>
      <c r="F90" s="3" t="s">
        <v>27</v>
      </c>
      <c r="G90" s="3" t="s">
        <v>132</v>
      </c>
      <c r="H90" s="28" t="s">
        <v>27</v>
      </c>
      <c r="I90" s="3" t="s">
        <v>27</v>
      </c>
      <c r="J90" s="2">
        <v>2</v>
      </c>
      <c r="K90" s="4" t="s">
        <v>27</v>
      </c>
      <c r="L90" s="28" t="s">
        <v>27</v>
      </c>
      <c r="M90" s="28" t="s">
        <v>27</v>
      </c>
      <c r="N90" s="28" t="s">
        <v>27</v>
      </c>
      <c r="O90" s="28" t="s">
        <v>408</v>
      </c>
      <c r="P90" s="56" t="s">
        <v>27</v>
      </c>
      <c r="Q90" s="56" t="s">
        <v>27</v>
      </c>
      <c r="R90" s="28" t="s">
        <v>27</v>
      </c>
      <c r="S90" s="4" t="s">
        <v>27</v>
      </c>
      <c r="T90" s="2" t="s">
        <v>551</v>
      </c>
      <c r="U90" s="2" t="s">
        <v>27</v>
      </c>
      <c r="V90" s="4" t="s">
        <v>27</v>
      </c>
      <c r="W90" s="4" t="s">
        <v>27</v>
      </c>
      <c r="X90" s="4" t="s">
        <v>27</v>
      </c>
      <c r="Y90" s="4" t="s">
        <v>27</v>
      </c>
      <c r="Z90" s="5" t="s">
        <v>27</v>
      </c>
      <c r="AA90" s="6" t="s">
        <v>27</v>
      </c>
      <c r="AB90" s="6" t="s">
        <v>551</v>
      </c>
      <c r="AC90" s="6" t="s">
        <v>27</v>
      </c>
      <c r="AD90" s="6" t="s">
        <v>27</v>
      </c>
    </row>
    <row r="91" spans="1:30" ht="30" x14ac:dyDescent="0.25">
      <c r="A91" s="13" t="s">
        <v>128</v>
      </c>
      <c r="B91" s="4">
        <v>1</v>
      </c>
      <c r="C91" s="4">
        <v>1</v>
      </c>
      <c r="D91" s="4" t="s">
        <v>117</v>
      </c>
      <c r="E91" s="4">
        <v>5</v>
      </c>
      <c r="F91" s="3" t="s">
        <v>27</v>
      </c>
      <c r="G91" s="3" t="s">
        <v>129</v>
      </c>
      <c r="H91" s="28" t="s">
        <v>27</v>
      </c>
      <c r="I91" s="3" t="s">
        <v>130</v>
      </c>
      <c r="J91" s="4" t="s">
        <v>27</v>
      </c>
      <c r="K91" s="4" t="s">
        <v>27</v>
      </c>
      <c r="L91" s="28" t="s">
        <v>27</v>
      </c>
      <c r="M91" s="28" t="s">
        <v>27</v>
      </c>
      <c r="N91" s="28" t="s">
        <v>27</v>
      </c>
      <c r="O91" s="28" t="s">
        <v>27</v>
      </c>
      <c r="P91" s="56" t="s">
        <v>27</v>
      </c>
      <c r="Q91" s="56" t="s">
        <v>551</v>
      </c>
      <c r="R91" s="27" t="s">
        <v>27</v>
      </c>
      <c r="S91" s="4" t="s">
        <v>27</v>
      </c>
      <c r="T91" s="4" t="s">
        <v>551</v>
      </c>
      <c r="U91" s="4" t="s">
        <v>551</v>
      </c>
      <c r="V91" s="4" t="s">
        <v>27</v>
      </c>
      <c r="W91" s="4" t="s">
        <v>27</v>
      </c>
      <c r="X91" s="4" t="s">
        <v>27</v>
      </c>
      <c r="Y91" s="4" t="s">
        <v>27</v>
      </c>
      <c r="Z91" s="6" t="s">
        <v>27</v>
      </c>
      <c r="AA91" s="6" t="s">
        <v>27</v>
      </c>
      <c r="AB91" s="6" t="s">
        <v>551</v>
      </c>
      <c r="AC91" s="6" t="s">
        <v>27</v>
      </c>
      <c r="AD91" s="6" t="s">
        <v>27</v>
      </c>
    </row>
    <row r="92" spans="1:30" ht="30" x14ac:dyDescent="0.25">
      <c r="A92" s="13" t="s">
        <v>116</v>
      </c>
      <c r="B92" s="4">
        <v>1</v>
      </c>
      <c r="C92" s="4">
        <v>1</v>
      </c>
      <c r="D92" s="4" t="s">
        <v>117</v>
      </c>
      <c r="E92" s="4">
        <v>5</v>
      </c>
      <c r="F92" s="3" t="s">
        <v>118</v>
      </c>
      <c r="G92" s="3" t="s">
        <v>119</v>
      </c>
      <c r="H92" s="28" t="s">
        <v>27</v>
      </c>
      <c r="I92" s="3" t="s">
        <v>27</v>
      </c>
      <c r="J92" s="4">
        <v>2</v>
      </c>
      <c r="K92" s="4" t="s">
        <v>27</v>
      </c>
      <c r="L92" s="28" t="s">
        <v>27</v>
      </c>
      <c r="M92" s="28" t="s">
        <v>27</v>
      </c>
      <c r="N92" s="28" t="s">
        <v>27</v>
      </c>
      <c r="O92" s="28" t="s">
        <v>408</v>
      </c>
      <c r="P92" s="56" t="s">
        <v>27</v>
      </c>
      <c r="Q92" s="56" t="s">
        <v>27</v>
      </c>
      <c r="R92" s="28" t="s">
        <v>27</v>
      </c>
      <c r="S92" s="4" t="s">
        <v>551</v>
      </c>
      <c r="T92" s="4" t="s">
        <v>27</v>
      </c>
      <c r="U92" s="4" t="s">
        <v>551</v>
      </c>
      <c r="V92" s="4" t="s">
        <v>27</v>
      </c>
      <c r="W92" s="4" t="s">
        <v>27</v>
      </c>
      <c r="X92" s="4" t="s">
        <v>27</v>
      </c>
      <c r="Y92" s="4" t="s">
        <v>27</v>
      </c>
      <c r="Z92" s="5" t="s">
        <v>27</v>
      </c>
      <c r="AA92" s="6" t="s">
        <v>27</v>
      </c>
      <c r="AB92" s="6" t="s">
        <v>27</v>
      </c>
      <c r="AC92" s="6" t="s">
        <v>551</v>
      </c>
      <c r="AD92" s="6" t="s">
        <v>27</v>
      </c>
    </row>
    <row r="93" spans="1:30" ht="30" x14ac:dyDescent="0.25">
      <c r="A93" s="1" t="s">
        <v>162</v>
      </c>
      <c r="B93" s="2">
        <v>1</v>
      </c>
      <c r="C93" s="2">
        <v>1</v>
      </c>
      <c r="D93" s="4" t="s">
        <v>117</v>
      </c>
      <c r="E93" s="2">
        <v>5</v>
      </c>
      <c r="F93" s="3" t="s">
        <v>27</v>
      </c>
      <c r="G93" s="3" t="s">
        <v>163</v>
      </c>
      <c r="H93" s="28" t="s">
        <v>27</v>
      </c>
      <c r="I93" s="3" t="s">
        <v>98</v>
      </c>
      <c r="J93" s="2">
        <v>1</v>
      </c>
      <c r="K93" s="4" t="s">
        <v>27</v>
      </c>
      <c r="L93" s="28" t="s">
        <v>27</v>
      </c>
      <c r="M93" s="28" t="s">
        <v>27</v>
      </c>
      <c r="N93" s="28" t="s">
        <v>27</v>
      </c>
      <c r="O93" s="28" t="s">
        <v>27</v>
      </c>
      <c r="P93" s="56" t="s">
        <v>27</v>
      </c>
      <c r="Q93" s="56" t="s">
        <v>27</v>
      </c>
      <c r="R93" s="28" t="s">
        <v>27</v>
      </c>
      <c r="S93" s="4" t="s">
        <v>27</v>
      </c>
      <c r="T93" s="2" t="s">
        <v>27</v>
      </c>
      <c r="U93" s="2" t="s">
        <v>27</v>
      </c>
      <c r="V93" s="4" t="s">
        <v>27</v>
      </c>
      <c r="W93" s="4" t="s">
        <v>551</v>
      </c>
      <c r="X93" s="4" t="s">
        <v>27</v>
      </c>
      <c r="Y93" s="4" t="s">
        <v>551</v>
      </c>
      <c r="Z93" s="5" t="s">
        <v>27</v>
      </c>
      <c r="AA93" s="5" t="s">
        <v>27</v>
      </c>
      <c r="AB93" s="5" t="s">
        <v>551</v>
      </c>
      <c r="AC93" s="5" t="s">
        <v>27</v>
      </c>
      <c r="AD93" s="5" t="s">
        <v>551</v>
      </c>
    </row>
    <row r="94" spans="1:30" ht="30" x14ac:dyDescent="0.25">
      <c r="A94" s="13" t="s">
        <v>127</v>
      </c>
      <c r="B94" s="4">
        <v>1</v>
      </c>
      <c r="C94" s="4">
        <v>1</v>
      </c>
      <c r="D94" s="4" t="s">
        <v>117</v>
      </c>
      <c r="E94" s="4">
        <v>5</v>
      </c>
      <c r="F94" s="3" t="s">
        <v>27</v>
      </c>
      <c r="G94" s="3" t="s">
        <v>27</v>
      </c>
      <c r="H94" s="60" t="s">
        <v>445</v>
      </c>
      <c r="I94" s="3" t="s">
        <v>88</v>
      </c>
      <c r="J94" s="4">
        <v>1</v>
      </c>
      <c r="K94" s="4" t="s">
        <v>27</v>
      </c>
      <c r="L94" s="28" t="s">
        <v>27</v>
      </c>
      <c r="M94" s="28" t="s">
        <v>27</v>
      </c>
      <c r="N94" s="28" t="s">
        <v>27</v>
      </c>
      <c r="O94" s="28" t="s">
        <v>408</v>
      </c>
      <c r="P94" s="56" t="s">
        <v>27</v>
      </c>
      <c r="Q94" s="56" t="s">
        <v>27</v>
      </c>
      <c r="R94" s="28" t="s">
        <v>551</v>
      </c>
      <c r="S94" s="4" t="s">
        <v>551</v>
      </c>
      <c r="T94" s="4" t="s">
        <v>27</v>
      </c>
      <c r="U94" s="4" t="s">
        <v>27</v>
      </c>
      <c r="V94" s="4" t="s">
        <v>27</v>
      </c>
      <c r="W94" s="4" t="s">
        <v>27</v>
      </c>
      <c r="X94" s="4" t="s">
        <v>27</v>
      </c>
      <c r="Y94" s="4" t="s">
        <v>27</v>
      </c>
      <c r="Z94" s="5" t="s">
        <v>27</v>
      </c>
      <c r="AA94" s="6" t="s">
        <v>551</v>
      </c>
      <c r="AB94" s="6" t="s">
        <v>27</v>
      </c>
      <c r="AC94" s="6" t="s">
        <v>27</v>
      </c>
      <c r="AD94" s="6" t="s">
        <v>27</v>
      </c>
    </row>
    <row r="95" spans="1:30" ht="30" x14ac:dyDescent="0.25">
      <c r="A95" s="13" t="s">
        <v>152</v>
      </c>
      <c r="B95" s="4">
        <v>2</v>
      </c>
      <c r="C95" s="4">
        <v>2</v>
      </c>
      <c r="D95" s="4" t="s">
        <v>117</v>
      </c>
      <c r="E95" s="4">
        <v>5</v>
      </c>
      <c r="F95" s="3" t="s">
        <v>27</v>
      </c>
      <c r="G95" s="3" t="s">
        <v>153</v>
      </c>
      <c r="H95" s="28" t="s">
        <v>27</v>
      </c>
      <c r="I95" s="3" t="s">
        <v>154</v>
      </c>
      <c r="J95" s="4" t="s">
        <v>27</v>
      </c>
      <c r="K95" s="4" t="s">
        <v>27</v>
      </c>
      <c r="L95" s="28" t="s">
        <v>27</v>
      </c>
      <c r="M95" s="28" t="s">
        <v>27</v>
      </c>
      <c r="N95" s="28" t="s">
        <v>27</v>
      </c>
      <c r="O95" s="28" t="s">
        <v>408</v>
      </c>
      <c r="P95" s="56" t="s">
        <v>27</v>
      </c>
      <c r="Q95" s="56" t="s">
        <v>27</v>
      </c>
      <c r="R95" s="28" t="s">
        <v>27</v>
      </c>
      <c r="S95" s="4" t="s">
        <v>27</v>
      </c>
      <c r="T95" s="4" t="s">
        <v>27</v>
      </c>
      <c r="U95" s="4" t="s">
        <v>551</v>
      </c>
      <c r="V95" s="4" t="s">
        <v>27</v>
      </c>
      <c r="W95" s="4" t="s">
        <v>27</v>
      </c>
      <c r="X95" s="4" t="s">
        <v>27</v>
      </c>
      <c r="Y95" s="4" t="s">
        <v>27</v>
      </c>
      <c r="Z95" s="5" t="s">
        <v>27</v>
      </c>
      <c r="AA95" s="6" t="s">
        <v>27</v>
      </c>
      <c r="AB95" s="6" t="s">
        <v>27</v>
      </c>
      <c r="AC95" s="6" t="s">
        <v>27</v>
      </c>
      <c r="AD95" s="6" t="s">
        <v>27</v>
      </c>
    </row>
    <row r="96" spans="1:30" ht="30" x14ac:dyDescent="0.25">
      <c r="A96" s="13" t="s">
        <v>136</v>
      </c>
      <c r="B96" s="4">
        <v>1</v>
      </c>
      <c r="C96" s="4">
        <v>1</v>
      </c>
      <c r="D96" s="4" t="s">
        <v>117</v>
      </c>
      <c r="E96" s="4">
        <v>6</v>
      </c>
      <c r="F96" s="3" t="s">
        <v>27</v>
      </c>
      <c r="G96" s="3" t="s">
        <v>137</v>
      </c>
      <c r="H96" s="28" t="s">
        <v>27</v>
      </c>
      <c r="I96" s="3" t="s">
        <v>138</v>
      </c>
      <c r="J96" s="4" t="s">
        <v>27</v>
      </c>
      <c r="K96" s="4" t="s">
        <v>27</v>
      </c>
      <c r="L96" s="28" t="s">
        <v>27</v>
      </c>
      <c r="M96" s="28" t="s">
        <v>27</v>
      </c>
      <c r="N96" s="28" t="s">
        <v>27</v>
      </c>
      <c r="O96" s="28" t="s">
        <v>27</v>
      </c>
      <c r="P96" s="56" t="s">
        <v>27</v>
      </c>
      <c r="Q96" s="56" t="s">
        <v>551</v>
      </c>
      <c r="R96" s="28" t="s">
        <v>551</v>
      </c>
      <c r="S96" s="4" t="s">
        <v>27</v>
      </c>
      <c r="T96" s="4" t="s">
        <v>27</v>
      </c>
      <c r="U96" s="4" t="s">
        <v>27</v>
      </c>
      <c r="V96" s="4" t="s">
        <v>27</v>
      </c>
      <c r="W96" s="4" t="s">
        <v>551</v>
      </c>
      <c r="X96" s="4" t="s">
        <v>27</v>
      </c>
      <c r="Y96" s="4" t="s">
        <v>27</v>
      </c>
      <c r="Z96" s="5" t="s">
        <v>27</v>
      </c>
      <c r="AA96" s="6" t="s">
        <v>27</v>
      </c>
      <c r="AB96" s="6" t="s">
        <v>551</v>
      </c>
      <c r="AC96" s="6" t="s">
        <v>27</v>
      </c>
      <c r="AD96" s="6" t="s">
        <v>27</v>
      </c>
    </row>
    <row r="97" spans="1:30" ht="30" x14ac:dyDescent="0.25">
      <c r="A97" s="1" t="s">
        <v>171</v>
      </c>
      <c r="B97" s="2">
        <v>2</v>
      </c>
      <c r="C97" s="2">
        <v>2</v>
      </c>
      <c r="D97" s="4" t="s">
        <v>117</v>
      </c>
      <c r="E97" s="2">
        <v>6</v>
      </c>
      <c r="F97" s="3" t="s">
        <v>27</v>
      </c>
      <c r="G97" s="3" t="s">
        <v>172</v>
      </c>
      <c r="H97" s="28" t="s">
        <v>27</v>
      </c>
      <c r="I97" s="3" t="s">
        <v>173</v>
      </c>
      <c r="J97" s="2" t="s">
        <v>27</v>
      </c>
      <c r="K97" s="4" t="s">
        <v>27</v>
      </c>
      <c r="L97" s="28" t="s">
        <v>27</v>
      </c>
      <c r="M97" s="28" t="s">
        <v>27</v>
      </c>
      <c r="N97" s="28" t="s">
        <v>27</v>
      </c>
      <c r="O97" s="28" t="s">
        <v>27</v>
      </c>
      <c r="P97" s="56" t="s">
        <v>27</v>
      </c>
      <c r="Q97" s="56" t="s">
        <v>551</v>
      </c>
      <c r="R97" s="28" t="s">
        <v>27</v>
      </c>
      <c r="S97" s="4" t="s">
        <v>27</v>
      </c>
      <c r="T97" s="2" t="s">
        <v>27</v>
      </c>
      <c r="U97" s="2" t="s">
        <v>27</v>
      </c>
      <c r="V97" s="4" t="s">
        <v>551</v>
      </c>
      <c r="W97" s="4" t="s">
        <v>551</v>
      </c>
      <c r="X97" s="4" t="s">
        <v>551</v>
      </c>
      <c r="Y97" s="4" t="s">
        <v>551</v>
      </c>
      <c r="Z97" s="5" t="s">
        <v>27</v>
      </c>
      <c r="AA97" s="5" t="s">
        <v>27</v>
      </c>
      <c r="AB97" s="5" t="s">
        <v>27</v>
      </c>
      <c r="AC97" s="5" t="s">
        <v>27</v>
      </c>
      <c r="AD97" s="5" t="s">
        <v>27</v>
      </c>
    </row>
    <row r="98" spans="1:30" ht="30" x14ac:dyDescent="0.25">
      <c r="A98" s="1" t="s">
        <v>166</v>
      </c>
      <c r="B98" s="2">
        <v>1</v>
      </c>
      <c r="C98" s="2">
        <v>1</v>
      </c>
      <c r="D98" s="4" t="s">
        <v>117</v>
      </c>
      <c r="E98" s="2">
        <v>7</v>
      </c>
      <c r="F98" s="3" t="s">
        <v>167</v>
      </c>
      <c r="G98" s="3" t="s">
        <v>168</v>
      </c>
      <c r="H98" s="28" t="s">
        <v>27</v>
      </c>
      <c r="I98" s="3" t="s">
        <v>27</v>
      </c>
      <c r="J98" s="2" t="s">
        <v>27</v>
      </c>
      <c r="K98" s="4" t="s">
        <v>27</v>
      </c>
      <c r="L98" s="60" t="s">
        <v>448</v>
      </c>
      <c r="M98" s="28" t="s">
        <v>27</v>
      </c>
      <c r="N98" s="28" t="s">
        <v>27</v>
      </c>
      <c r="O98" s="28" t="s">
        <v>27</v>
      </c>
      <c r="P98" s="56" t="s">
        <v>27</v>
      </c>
      <c r="Q98" s="56" t="s">
        <v>27</v>
      </c>
      <c r="R98" s="27" t="s">
        <v>27</v>
      </c>
      <c r="S98" s="4" t="s">
        <v>27</v>
      </c>
      <c r="T98" s="2" t="s">
        <v>27</v>
      </c>
      <c r="U98" s="2" t="s">
        <v>551</v>
      </c>
      <c r="V98" s="4" t="s">
        <v>27</v>
      </c>
      <c r="W98" s="4" t="s">
        <v>27</v>
      </c>
      <c r="X98" s="4" t="s">
        <v>27</v>
      </c>
      <c r="Y98" s="4" t="s">
        <v>27</v>
      </c>
      <c r="Z98" s="6" t="s">
        <v>27</v>
      </c>
      <c r="AA98" s="6" t="s">
        <v>27</v>
      </c>
      <c r="AB98" s="6" t="s">
        <v>27</v>
      </c>
      <c r="AC98" s="6" t="s">
        <v>27</v>
      </c>
      <c r="AD98" s="6" t="s">
        <v>551</v>
      </c>
    </row>
    <row r="99" spans="1:30" ht="30" x14ac:dyDescent="0.25">
      <c r="A99" s="13" t="s">
        <v>133</v>
      </c>
      <c r="B99" s="4">
        <v>1</v>
      </c>
      <c r="C99" s="4">
        <v>1</v>
      </c>
      <c r="D99" s="4" t="s">
        <v>117</v>
      </c>
      <c r="E99" s="4">
        <v>8</v>
      </c>
      <c r="F99" s="3" t="s">
        <v>134</v>
      </c>
      <c r="G99" s="3" t="s">
        <v>95</v>
      </c>
      <c r="H99" s="28" t="s">
        <v>27</v>
      </c>
      <c r="I99" s="3" t="s">
        <v>135</v>
      </c>
      <c r="J99" s="4">
        <v>2</v>
      </c>
      <c r="K99" s="4" t="s">
        <v>27</v>
      </c>
      <c r="L99" s="28" t="s">
        <v>27</v>
      </c>
      <c r="M99" s="28" t="s">
        <v>27</v>
      </c>
      <c r="N99" s="28" t="s">
        <v>27</v>
      </c>
      <c r="O99" s="28" t="s">
        <v>408</v>
      </c>
      <c r="P99" s="56" t="s">
        <v>27</v>
      </c>
      <c r="Q99" s="56" t="s">
        <v>27</v>
      </c>
      <c r="R99" s="28" t="s">
        <v>27</v>
      </c>
      <c r="S99" s="4" t="s">
        <v>27</v>
      </c>
      <c r="T99" s="4" t="s">
        <v>551</v>
      </c>
      <c r="U99" s="4" t="s">
        <v>27</v>
      </c>
      <c r="V99" s="4" t="s">
        <v>551</v>
      </c>
      <c r="W99" s="4" t="s">
        <v>27</v>
      </c>
      <c r="X99" s="4" t="s">
        <v>27</v>
      </c>
      <c r="Y99" s="4" t="s">
        <v>27</v>
      </c>
      <c r="Z99" s="5" t="s">
        <v>27</v>
      </c>
      <c r="AA99" s="6" t="s">
        <v>27</v>
      </c>
      <c r="AB99" s="6" t="s">
        <v>27</v>
      </c>
      <c r="AC99" s="6" t="s">
        <v>551</v>
      </c>
      <c r="AD99" s="6" t="s">
        <v>27</v>
      </c>
    </row>
    <row r="100" spans="1:30" ht="30" x14ac:dyDescent="0.25">
      <c r="A100" s="1" t="s">
        <v>248</v>
      </c>
      <c r="B100" s="2">
        <v>1</v>
      </c>
      <c r="C100" s="2">
        <v>1</v>
      </c>
      <c r="D100" s="4" t="s">
        <v>243</v>
      </c>
      <c r="E100" s="2">
        <v>3</v>
      </c>
      <c r="F100" s="3" t="s">
        <v>27</v>
      </c>
      <c r="G100" s="3" t="s">
        <v>27</v>
      </c>
      <c r="H100" s="28" t="s">
        <v>78</v>
      </c>
      <c r="I100" s="3" t="s">
        <v>27</v>
      </c>
      <c r="J100" s="2">
        <v>1</v>
      </c>
      <c r="K100" s="4">
        <v>2</v>
      </c>
      <c r="L100" s="28" t="s">
        <v>27</v>
      </c>
      <c r="M100" s="28" t="s">
        <v>27</v>
      </c>
      <c r="N100" s="28" t="s">
        <v>27</v>
      </c>
      <c r="O100" s="28" t="s">
        <v>27</v>
      </c>
      <c r="P100" s="56" t="s">
        <v>27</v>
      </c>
      <c r="Q100" s="56" t="s">
        <v>27</v>
      </c>
      <c r="R100" s="56" t="s">
        <v>27</v>
      </c>
      <c r="S100" s="4" t="s">
        <v>27</v>
      </c>
      <c r="T100" s="2" t="s">
        <v>27</v>
      </c>
      <c r="U100" s="2" t="s">
        <v>551</v>
      </c>
      <c r="V100" s="4" t="s">
        <v>27</v>
      </c>
      <c r="W100" s="4" t="s">
        <v>27</v>
      </c>
      <c r="X100" s="4" t="s">
        <v>27</v>
      </c>
      <c r="Y100" s="4" t="s">
        <v>27</v>
      </c>
      <c r="Z100" s="28" t="s">
        <v>27</v>
      </c>
      <c r="AA100" s="6" t="s">
        <v>551</v>
      </c>
      <c r="AB100" s="6" t="s">
        <v>27</v>
      </c>
      <c r="AC100" s="6" t="s">
        <v>27</v>
      </c>
      <c r="AD100" s="6" t="s">
        <v>27</v>
      </c>
    </row>
    <row r="101" spans="1:30" ht="30" customHeight="1" x14ac:dyDescent="0.25">
      <c r="A101" s="55" t="s">
        <v>249</v>
      </c>
      <c r="B101" s="2">
        <v>1</v>
      </c>
      <c r="C101" s="2">
        <v>1</v>
      </c>
      <c r="D101" s="4" t="s">
        <v>243</v>
      </c>
      <c r="E101" s="2">
        <v>3</v>
      </c>
      <c r="F101" s="3" t="s">
        <v>27</v>
      </c>
      <c r="G101" s="3" t="s">
        <v>250</v>
      </c>
      <c r="H101" s="28" t="s">
        <v>27</v>
      </c>
      <c r="I101" s="3" t="s">
        <v>39</v>
      </c>
      <c r="J101" s="2">
        <v>1</v>
      </c>
      <c r="K101" s="4" t="s">
        <v>27</v>
      </c>
      <c r="L101" s="28" t="s">
        <v>27</v>
      </c>
      <c r="M101" s="28" t="s">
        <v>27</v>
      </c>
      <c r="N101" s="28" t="s">
        <v>27</v>
      </c>
      <c r="O101" s="28" t="s">
        <v>27</v>
      </c>
      <c r="P101" s="56" t="s">
        <v>27</v>
      </c>
      <c r="Q101" s="56" t="s">
        <v>27</v>
      </c>
      <c r="R101" s="56" t="s">
        <v>27</v>
      </c>
      <c r="S101" s="4" t="s">
        <v>27</v>
      </c>
      <c r="T101" s="2" t="s">
        <v>27</v>
      </c>
      <c r="U101" s="2" t="s">
        <v>551</v>
      </c>
      <c r="V101" s="4" t="s">
        <v>27</v>
      </c>
      <c r="W101" s="4" t="s">
        <v>27</v>
      </c>
      <c r="X101" s="4" t="s">
        <v>27</v>
      </c>
      <c r="Y101" s="4" t="s">
        <v>27</v>
      </c>
      <c r="Z101" s="28" t="s">
        <v>27</v>
      </c>
      <c r="AA101" s="5" t="s">
        <v>27</v>
      </c>
      <c r="AB101" s="5" t="s">
        <v>27</v>
      </c>
      <c r="AC101" s="5" t="s">
        <v>27</v>
      </c>
      <c r="AD101" s="6" t="s">
        <v>551</v>
      </c>
    </row>
    <row r="102" spans="1:30" ht="30" x14ac:dyDescent="0.25">
      <c r="A102" s="30" t="s">
        <v>484</v>
      </c>
      <c r="B102" s="7">
        <v>1</v>
      </c>
      <c r="C102" s="7">
        <v>1</v>
      </c>
      <c r="D102" s="2" t="s">
        <v>243</v>
      </c>
      <c r="E102" s="7">
        <v>3</v>
      </c>
      <c r="F102" s="8" t="s">
        <v>27</v>
      </c>
      <c r="G102" s="8" t="s">
        <v>485</v>
      </c>
      <c r="H102" s="56" t="s">
        <v>27</v>
      </c>
      <c r="I102" s="8" t="s">
        <v>27</v>
      </c>
      <c r="J102" s="7">
        <v>0</v>
      </c>
      <c r="K102" s="9">
        <v>3</v>
      </c>
      <c r="L102" s="28" t="s">
        <v>27</v>
      </c>
      <c r="M102" s="28" t="s">
        <v>27</v>
      </c>
      <c r="N102" s="28" t="s">
        <v>27</v>
      </c>
      <c r="O102" s="28" t="s">
        <v>543</v>
      </c>
      <c r="P102" s="56" t="s">
        <v>27</v>
      </c>
      <c r="Q102" s="56" t="s">
        <v>27</v>
      </c>
      <c r="R102" s="56" t="s">
        <v>27</v>
      </c>
      <c r="S102" s="4" t="s">
        <v>27</v>
      </c>
      <c r="T102" s="7" t="s">
        <v>551</v>
      </c>
      <c r="U102" s="7" t="s">
        <v>27</v>
      </c>
      <c r="V102" s="9" t="s">
        <v>27</v>
      </c>
      <c r="W102" s="9" t="s">
        <v>27</v>
      </c>
      <c r="X102" s="9" t="s">
        <v>27</v>
      </c>
      <c r="Y102" s="9" t="s">
        <v>27</v>
      </c>
      <c r="Z102" s="28" t="s">
        <v>27</v>
      </c>
      <c r="AA102" s="64" t="s">
        <v>27</v>
      </c>
      <c r="AB102" s="64" t="s">
        <v>27</v>
      </c>
      <c r="AC102" s="64" t="s">
        <v>551</v>
      </c>
      <c r="AD102" s="10" t="s">
        <v>27</v>
      </c>
    </row>
    <row r="103" spans="1:30" ht="30" customHeight="1" x14ac:dyDescent="0.25">
      <c r="A103" s="1" t="s">
        <v>242</v>
      </c>
      <c r="B103" s="2">
        <v>1</v>
      </c>
      <c r="C103" s="2">
        <v>1</v>
      </c>
      <c r="D103" s="4" t="s">
        <v>243</v>
      </c>
      <c r="E103" s="2">
        <v>5</v>
      </c>
      <c r="F103" s="3" t="s">
        <v>27</v>
      </c>
      <c r="G103" s="3" t="s">
        <v>244</v>
      </c>
      <c r="H103" s="28" t="s">
        <v>27</v>
      </c>
      <c r="I103" s="3" t="s">
        <v>245</v>
      </c>
      <c r="J103" s="2" t="s">
        <v>27</v>
      </c>
      <c r="K103" s="4" t="s">
        <v>27</v>
      </c>
      <c r="L103" s="28" t="s">
        <v>27</v>
      </c>
      <c r="M103" s="28" t="s">
        <v>27</v>
      </c>
      <c r="N103" s="28" t="s">
        <v>27</v>
      </c>
      <c r="O103" s="28" t="s">
        <v>27</v>
      </c>
      <c r="P103" s="56" t="s">
        <v>27</v>
      </c>
      <c r="Q103" s="56" t="s">
        <v>551</v>
      </c>
      <c r="R103" s="56" t="s">
        <v>27</v>
      </c>
      <c r="S103" s="4" t="s">
        <v>27</v>
      </c>
      <c r="T103" s="2" t="s">
        <v>27</v>
      </c>
      <c r="U103" s="2" t="s">
        <v>27</v>
      </c>
      <c r="V103" s="4" t="s">
        <v>551</v>
      </c>
      <c r="W103" s="4" t="s">
        <v>551</v>
      </c>
      <c r="X103" s="4" t="s">
        <v>551</v>
      </c>
      <c r="Y103" s="4" t="s">
        <v>551</v>
      </c>
      <c r="Z103" s="5" t="s">
        <v>27</v>
      </c>
      <c r="AA103" s="6" t="s">
        <v>27</v>
      </c>
      <c r="AB103" s="6" t="s">
        <v>27</v>
      </c>
      <c r="AC103" s="6" t="s">
        <v>27</v>
      </c>
      <c r="AD103" s="6" t="s">
        <v>27</v>
      </c>
    </row>
    <row r="104" spans="1:30" ht="30" x14ac:dyDescent="0.25">
      <c r="A104" s="1" t="s">
        <v>246</v>
      </c>
      <c r="B104" s="2">
        <v>1</v>
      </c>
      <c r="C104" s="2">
        <v>1</v>
      </c>
      <c r="D104" s="4" t="s">
        <v>243</v>
      </c>
      <c r="E104" s="2">
        <v>5</v>
      </c>
      <c r="F104" s="3" t="s">
        <v>27</v>
      </c>
      <c r="G104" s="3" t="s">
        <v>28</v>
      </c>
      <c r="H104" s="28" t="s">
        <v>27</v>
      </c>
      <c r="I104" s="3" t="s">
        <v>247</v>
      </c>
      <c r="J104" s="2">
        <v>1</v>
      </c>
      <c r="K104" s="4">
        <v>2</v>
      </c>
      <c r="L104" s="28" t="s">
        <v>27</v>
      </c>
      <c r="M104" s="28" t="s">
        <v>27</v>
      </c>
      <c r="N104" s="28" t="s">
        <v>27</v>
      </c>
      <c r="O104" s="28" t="s">
        <v>27</v>
      </c>
      <c r="P104" s="56" t="s">
        <v>27</v>
      </c>
      <c r="Q104" s="56" t="s">
        <v>27</v>
      </c>
      <c r="R104" s="56" t="s">
        <v>27</v>
      </c>
      <c r="S104" s="4" t="s">
        <v>27</v>
      </c>
      <c r="T104" s="2" t="s">
        <v>551</v>
      </c>
      <c r="U104" s="2" t="s">
        <v>27</v>
      </c>
      <c r="V104" s="4" t="s">
        <v>27</v>
      </c>
      <c r="W104" s="4" t="s">
        <v>27</v>
      </c>
      <c r="X104" s="4" t="s">
        <v>27</v>
      </c>
      <c r="Y104" s="4" t="s">
        <v>551</v>
      </c>
      <c r="Z104" s="6" t="s">
        <v>27</v>
      </c>
      <c r="AA104" s="6" t="s">
        <v>27</v>
      </c>
      <c r="AB104" s="6" t="s">
        <v>27</v>
      </c>
      <c r="AC104" s="6" t="s">
        <v>27</v>
      </c>
      <c r="AD104" s="6" t="s">
        <v>27</v>
      </c>
    </row>
    <row r="105" spans="1:30" ht="30" x14ac:dyDescent="0.25">
      <c r="A105" s="55" t="s">
        <v>251</v>
      </c>
      <c r="B105" s="2">
        <v>1</v>
      </c>
      <c r="C105" s="2">
        <v>1</v>
      </c>
      <c r="D105" s="4" t="s">
        <v>243</v>
      </c>
      <c r="E105" s="2">
        <v>6</v>
      </c>
      <c r="F105" s="3" t="s">
        <v>28</v>
      </c>
      <c r="G105" s="3" t="s">
        <v>252</v>
      </c>
      <c r="H105" s="28" t="s">
        <v>27</v>
      </c>
      <c r="I105" s="3" t="s">
        <v>27</v>
      </c>
      <c r="J105" s="2">
        <v>1</v>
      </c>
      <c r="K105" s="4">
        <v>3</v>
      </c>
      <c r="L105" s="28" t="s">
        <v>27</v>
      </c>
      <c r="M105" s="28" t="s">
        <v>27</v>
      </c>
      <c r="N105" s="28" t="s">
        <v>27</v>
      </c>
      <c r="O105" s="28" t="s">
        <v>27</v>
      </c>
      <c r="P105" s="56" t="s">
        <v>27</v>
      </c>
      <c r="Q105" s="56" t="s">
        <v>27</v>
      </c>
      <c r="R105" s="56" t="s">
        <v>27</v>
      </c>
      <c r="S105" s="4" t="s">
        <v>27</v>
      </c>
      <c r="T105" s="2" t="s">
        <v>551</v>
      </c>
      <c r="U105" s="2" t="s">
        <v>27</v>
      </c>
      <c r="V105" s="4" t="s">
        <v>27</v>
      </c>
      <c r="W105" s="4" t="s">
        <v>27</v>
      </c>
      <c r="X105" s="4" t="s">
        <v>27</v>
      </c>
      <c r="Y105" s="4" t="s">
        <v>27</v>
      </c>
      <c r="Z105" s="5" t="s">
        <v>27</v>
      </c>
      <c r="AA105" s="5" t="s">
        <v>27</v>
      </c>
      <c r="AB105" s="5" t="s">
        <v>27</v>
      </c>
      <c r="AC105" s="5" t="s">
        <v>27</v>
      </c>
      <c r="AD105" s="6" t="s">
        <v>551</v>
      </c>
    </row>
    <row r="106" spans="1:30" ht="30" customHeight="1" x14ac:dyDescent="0.25">
      <c r="A106" s="55" t="s">
        <v>307</v>
      </c>
      <c r="B106" s="2">
        <v>1</v>
      </c>
      <c r="C106" s="2">
        <v>1</v>
      </c>
      <c r="D106" s="4" t="s">
        <v>308</v>
      </c>
      <c r="E106" s="2">
        <v>3</v>
      </c>
      <c r="F106" s="3" t="s">
        <v>27</v>
      </c>
      <c r="G106" s="3" t="s">
        <v>480</v>
      </c>
      <c r="H106" s="28" t="s">
        <v>27</v>
      </c>
      <c r="I106" s="3" t="s">
        <v>27</v>
      </c>
      <c r="J106" s="2">
        <v>1</v>
      </c>
      <c r="K106" s="4" t="s">
        <v>27</v>
      </c>
      <c r="L106" s="28" t="s">
        <v>27</v>
      </c>
      <c r="M106" s="28" t="s">
        <v>27</v>
      </c>
      <c r="N106" s="28" t="s">
        <v>27</v>
      </c>
      <c r="O106" s="28" t="s">
        <v>543</v>
      </c>
      <c r="P106" s="56" t="s">
        <v>27</v>
      </c>
      <c r="Q106" s="56" t="s">
        <v>27</v>
      </c>
      <c r="R106" s="56" t="s">
        <v>27</v>
      </c>
      <c r="S106" s="4" t="s">
        <v>551</v>
      </c>
      <c r="T106" s="2" t="s">
        <v>551</v>
      </c>
      <c r="U106" s="2" t="s">
        <v>551</v>
      </c>
      <c r="V106" s="4" t="s">
        <v>27</v>
      </c>
      <c r="W106" s="4" t="s">
        <v>27</v>
      </c>
      <c r="X106" s="4" t="s">
        <v>27</v>
      </c>
      <c r="Y106" s="4" t="s">
        <v>27</v>
      </c>
      <c r="Z106" s="5" t="s">
        <v>27</v>
      </c>
      <c r="AA106" s="5" t="s">
        <v>27</v>
      </c>
      <c r="AB106" s="5" t="s">
        <v>551</v>
      </c>
      <c r="AC106" s="5" t="s">
        <v>27</v>
      </c>
      <c r="AD106" s="6" t="s">
        <v>27</v>
      </c>
    </row>
    <row r="107" spans="1:30" ht="30" x14ac:dyDescent="0.25">
      <c r="A107" s="55" t="s">
        <v>309</v>
      </c>
      <c r="B107" s="2">
        <v>1</v>
      </c>
      <c r="C107" s="2">
        <v>1</v>
      </c>
      <c r="D107" s="4" t="s">
        <v>308</v>
      </c>
      <c r="E107" s="2">
        <v>5</v>
      </c>
      <c r="F107" s="3" t="s">
        <v>27</v>
      </c>
      <c r="G107" s="3" t="s">
        <v>499</v>
      </c>
      <c r="H107" s="28" t="s">
        <v>27</v>
      </c>
      <c r="I107" s="3" t="s">
        <v>500</v>
      </c>
      <c r="J107" s="2" t="s">
        <v>27</v>
      </c>
      <c r="K107" s="4" t="s">
        <v>27</v>
      </c>
      <c r="L107" s="28" t="s">
        <v>27</v>
      </c>
      <c r="M107" s="28" t="s">
        <v>27</v>
      </c>
      <c r="N107" s="28" t="s">
        <v>27</v>
      </c>
      <c r="O107" s="28" t="s">
        <v>543</v>
      </c>
      <c r="P107" s="56" t="s">
        <v>27</v>
      </c>
      <c r="Q107" s="56" t="s">
        <v>27</v>
      </c>
      <c r="R107" s="56" t="s">
        <v>27</v>
      </c>
      <c r="S107" s="4" t="s">
        <v>27</v>
      </c>
      <c r="T107" s="2" t="s">
        <v>551</v>
      </c>
      <c r="U107" s="2" t="s">
        <v>27</v>
      </c>
      <c r="V107" s="4" t="s">
        <v>27</v>
      </c>
      <c r="W107" s="4" t="s">
        <v>27</v>
      </c>
      <c r="X107" s="4" t="s">
        <v>27</v>
      </c>
      <c r="Y107" s="4" t="s">
        <v>27</v>
      </c>
      <c r="Z107" s="5" t="s">
        <v>27</v>
      </c>
      <c r="AA107" s="5" t="s">
        <v>27</v>
      </c>
      <c r="AB107" s="5" t="s">
        <v>551</v>
      </c>
      <c r="AC107" s="5" t="s">
        <v>27</v>
      </c>
      <c r="AD107" s="6" t="s">
        <v>27</v>
      </c>
    </row>
    <row r="108" spans="1:30" ht="30" x14ac:dyDescent="0.25">
      <c r="A108" s="55" t="s">
        <v>310</v>
      </c>
      <c r="B108" s="2">
        <v>1</v>
      </c>
      <c r="C108" s="2">
        <v>1</v>
      </c>
      <c r="D108" s="4" t="s">
        <v>308</v>
      </c>
      <c r="E108" s="2">
        <v>6</v>
      </c>
      <c r="F108" s="3" t="s">
        <v>27</v>
      </c>
      <c r="G108" s="3" t="s">
        <v>517</v>
      </c>
      <c r="H108" s="28" t="s">
        <v>27</v>
      </c>
      <c r="I108" s="3" t="s">
        <v>518</v>
      </c>
      <c r="J108" s="2" t="s">
        <v>27</v>
      </c>
      <c r="K108" s="4" t="s">
        <v>27</v>
      </c>
      <c r="L108" s="28" t="s">
        <v>27</v>
      </c>
      <c r="M108" s="28" t="s">
        <v>27</v>
      </c>
      <c r="N108" s="28" t="s">
        <v>27</v>
      </c>
      <c r="O108" s="28" t="s">
        <v>543</v>
      </c>
      <c r="P108" s="56" t="s">
        <v>27</v>
      </c>
      <c r="Q108" s="56" t="s">
        <v>27</v>
      </c>
      <c r="R108" s="56" t="s">
        <v>27</v>
      </c>
      <c r="S108" s="4" t="s">
        <v>551</v>
      </c>
      <c r="T108" s="2" t="s">
        <v>27</v>
      </c>
      <c r="U108" s="2" t="s">
        <v>551</v>
      </c>
      <c r="V108" s="4" t="s">
        <v>27</v>
      </c>
      <c r="W108" s="4" t="s">
        <v>27</v>
      </c>
      <c r="X108" s="4" t="s">
        <v>27</v>
      </c>
      <c r="Y108" s="4" t="s">
        <v>27</v>
      </c>
      <c r="Z108" s="5" t="s">
        <v>27</v>
      </c>
      <c r="AA108" s="5" t="s">
        <v>27</v>
      </c>
      <c r="AB108" s="5" t="s">
        <v>551</v>
      </c>
      <c r="AC108" s="5" t="s">
        <v>27</v>
      </c>
      <c r="AD108" s="6" t="s">
        <v>27</v>
      </c>
    </row>
    <row r="109" spans="1:30" ht="30" x14ac:dyDescent="0.25">
      <c r="A109" s="55" t="s">
        <v>311</v>
      </c>
      <c r="B109" s="2">
        <v>1</v>
      </c>
      <c r="C109" s="2">
        <v>1</v>
      </c>
      <c r="D109" s="4" t="s">
        <v>308</v>
      </c>
      <c r="E109" s="2">
        <v>7</v>
      </c>
      <c r="F109" s="3" t="s">
        <v>517</v>
      </c>
      <c r="G109" s="3" t="s">
        <v>179</v>
      </c>
      <c r="H109" s="28" t="s">
        <v>27</v>
      </c>
      <c r="I109" s="3" t="s">
        <v>520</v>
      </c>
      <c r="J109" s="2" t="s">
        <v>27</v>
      </c>
      <c r="K109" s="4" t="s">
        <v>27</v>
      </c>
      <c r="L109" s="28" t="s">
        <v>27</v>
      </c>
      <c r="M109" s="28" t="s">
        <v>27</v>
      </c>
      <c r="N109" s="28" t="s">
        <v>27</v>
      </c>
      <c r="O109" s="28" t="s">
        <v>543</v>
      </c>
      <c r="P109" s="56" t="s">
        <v>27</v>
      </c>
      <c r="Q109" s="56" t="s">
        <v>27</v>
      </c>
      <c r="R109" s="56" t="s">
        <v>27</v>
      </c>
      <c r="S109" s="4" t="s">
        <v>551</v>
      </c>
      <c r="T109" s="2" t="s">
        <v>551</v>
      </c>
      <c r="U109" s="2" t="s">
        <v>551</v>
      </c>
      <c r="V109" s="4" t="s">
        <v>27</v>
      </c>
      <c r="W109" s="4" t="s">
        <v>27</v>
      </c>
      <c r="X109" s="4" t="s">
        <v>27</v>
      </c>
      <c r="Y109" s="4" t="s">
        <v>27</v>
      </c>
      <c r="Z109" s="5" t="s">
        <v>27</v>
      </c>
      <c r="AA109" s="5" t="s">
        <v>27</v>
      </c>
      <c r="AB109" s="5" t="s">
        <v>551</v>
      </c>
      <c r="AC109" s="5" t="s">
        <v>27</v>
      </c>
      <c r="AD109" s="6" t="s">
        <v>27</v>
      </c>
    </row>
    <row r="110" spans="1:30" ht="30" customHeight="1" x14ac:dyDescent="0.25">
      <c r="A110" s="55" t="s">
        <v>270</v>
      </c>
      <c r="B110" s="2">
        <v>1</v>
      </c>
      <c r="C110" s="2">
        <v>1</v>
      </c>
      <c r="D110" s="4" t="s">
        <v>254</v>
      </c>
      <c r="E110" s="2">
        <v>1</v>
      </c>
      <c r="F110" s="3" t="s">
        <v>27</v>
      </c>
      <c r="G110" s="3" t="s">
        <v>27</v>
      </c>
      <c r="H110" s="28" t="s">
        <v>27</v>
      </c>
      <c r="I110" s="3" t="s">
        <v>27</v>
      </c>
      <c r="J110" s="2">
        <v>1</v>
      </c>
      <c r="K110" s="4">
        <v>1</v>
      </c>
      <c r="L110" s="28" t="s">
        <v>27</v>
      </c>
      <c r="M110" s="28" t="s">
        <v>457</v>
      </c>
      <c r="N110" s="28" t="s">
        <v>27</v>
      </c>
      <c r="O110" s="28" t="s">
        <v>27</v>
      </c>
      <c r="P110" s="56" t="s">
        <v>27</v>
      </c>
      <c r="Q110" s="56" t="s">
        <v>27</v>
      </c>
      <c r="R110" s="56" t="s">
        <v>27</v>
      </c>
      <c r="S110" s="4" t="s">
        <v>27</v>
      </c>
      <c r="T110" s="2" t="s">
        <v>551</v>
      </c>
      <c r="U110" s="2" t="s">
        <v>27</v>
      </c>
      <c r="V110" s="4" t="s">
        <v>27</v>
      </c>
      <c r="W110" s="4" t="s">
        <v>27</v>
      </c>
      <c r="X110" s="4" t="s">
        <v>27</v>
      </c>
      <c r="Y110" s="4" t="s">
        <v>27</v>
      </c>
      <c r="Z110" s="5" t="s">
        <v>27</v>
      </c>
      <c r="AA110" s="5" t="s">
        <v>27</v>
      </c>
      <c r="AB110" s="5" t="s">
        <v>27</v>
      </c>
      <c r="AC110" s="5" t="s">
        <v>551</v>
      </c>
      <c r="AD110" s="6" t="s">
        <v>27</v>
      </c>
    </row>
    <row r="111" spans="1:30" ht="30" x14ac:dyDescent="0.25">
      <c r="A111" s="1" t="s">
        <v>289</v>
      </c>
      <c r="B111" s="2">
        <v>2</v>
      </c>
      <c r="C111" s="2">
        <v>2</v>
      </c>
      <c r="D111" s="4" t="s">
        <v>254</v>
      </c>
      <c r="E111" s="2">
        <v>1</v>
      </c>
      <c r="F111" s="3" t="s">
        <v>27</v>
      </c>
      <c r="G111" s="3" t="s">
        <v>460</v>
      </c>
      <c r="H111" s="28" t="s">
        <v>27</v>
      </c>
      <c r="I111" s="3" t="s">
        <v>27</v>
      </c>
      <c r="J111" s="2">
        <v>1</v>
      </c>
      <c r="K111" s="4" t="s">
        <v>27</v>
      </c>
      <c r="L111" s="28" t="s">
        <v>27</v>
      </c>
      <c r="M111" s="28" t="s">
        <v>27</v>
      </c>
      <c r="N111" s="28" t="s">
        <v>27</v>
      </c>
      <c r="O111" s="28" t="s">
        <v>27</v>
      </c>
      <c r="P111" s="56" t="s">
        <v>27</v>
      </c>
      <c r="Q111" s="56" t="s">
        <v>27</v>
      </c>
      <c r="R111" s="56" t="s">
        <v>27</v>
      </c>
      <c r="S111" s="4" t="s">
        <v>27</v>
      </c>
      <c r="T111" s="2" t="s">
        <v>27</v>
      </c>
      <c r="U111" s="2" t="s">
        <v>551</v>
      </c>
      <c r="V111" s="4" t="s">
        <v>27</v>
      </c>
      <c r="W111" s="4" t="s">
        <v>27</v>
      </c>
      <c r="X111" s="4" t="s">
        <v>27</v>
      </c>
      <c r="Y111" s="4" t="s">
        <v>27</v>
      </c>
      <c r="Z111" s="5" t="s">
        <v>27</v>
      </c>
      <c r="AA111" s="5" t="s">
        <v>27</v>
      </c>
      <c r="AB111" s="5" t="s">
        <v>551</v>
      </c>
      <c r="AC111" s="5" t="s">
        <v>27</v>
      </c>
      <c r="AD111" s="6" t="s">
        <v>27</v>
      </c>
    </row>
    <row r="112" spans="1:30" ht="30" x14ac:dyDescent="0.25">
      <c r="A112" s="55" t="s">
        <v>297</v>
      </c>
      <c r="B112" s="2">
        <v>1</v>
      </c>
      <c r="C112" s="2">
        <v>1</v>
      </c>
      <c r="D112" s="4" t="s">
        <v>254</v>
      </c>
      <c r="E112" s="2">
        <v>1</v>
      </c>
      <c r="F112" s="3" t="s">
        <v>27</v>
      </c>
      <c r="G112" s="3" t="s">
        <v>458</v>
      </c>
      <c r="H112" s="28" t="s">
        <v>27</v>
      </c>
      <c r="I112" s="3" t="s">
        <v>27</v>
      </c>
      <c r="J112" s="2">
        <v>1</v>
      </c>
      <c r="K112" s="4" t="s">
        <v>27</v>
      </c>
      <c r="L112" s="28" t="s">
        <v>27</v>
      </c>
      <c r="M112" s="28" t="s">
        <v>27</v>
      </c>
      <c r="N112" s="28" t="s">
        <v>27</v>
      </c>
      <c r="O112" s="28" t="s">
        <v>27</v>
      </c>
      <c r="P112" s="56" t="s">
        <v>27</v>
      </c>
      <c r="Q112" s="56" t="s">
        <v>27</v>
      </c>
      <c r="R112" s="56" t="s">
        <v>27</v>
      </c>
      <c r="S112" s="4" t="s">
        <v>27</v>
      </c>
      <c r="T112" s="2" t="s">
        <v>27</v>
      </c>
      <c r="U112" s="2" t="s">
        <v>27</v>
      </c>
      <c r="V112" s="4" t="s">
        <v>27</v>
      </c>
      <c r="W112" s="4" t="s">
        <v>551</v>
      </c>
      <c r="X112" s="4" t="s">
        <v>27</v>
      </c>
      <c r="Y112" s="4" t="s">
        <v>27</v>
      </c>
      <c r="Z112" s="5" t="s">
        <v>27</v>
      </c>
      <c r="AA112" s="5" t="s">
        <v>27</v>
      </c>
      <c r="AB112" s="5" t="s">
        <v>551</v>
      </c>
      <c r="AC112" s="5" t="s">
        <v>27</v>
      </c>
      <c r="AD112" s="6" t="s">
        <v>27</v>
      </c>
    </row>
    <row r="113" spans="1:30" ht="30" x14ac:dyDescent="0.25">
      <c r="A113" s="55" t="s">
        <v>282</v>
      </c>
      <c r="B113" s="2">
        <v>2</v>
      </c>
      <c r="C113" s="2">
        <v>2</v>
      </c>
      <c r="D113" s="4" t="s">
        <v>254</v>
      </c>
      <c r="E113" s="2">
        <v>1</v>
      </c>
      <c r="F113" s="3" t="s">
        <v>27</v>
      </c>
      <c r="G113" s="3" t="s">
        <v>27</v>
      </c>
      <c r="H113" s="28" t="s">
        <v>27</v>
      </c>
      <c r="I113" s="61" t="s">
        <v>28</v>
      </c>
      <c r="J113" s="2">
        <v>1</v>
      </c>
      <c r="K113" s="4" t="s">
        <v>27</v>
      </c>
      <c r="L113" s="28" t="s">
        <v>459</v>
      </c>
      <c r="M113" s="28" t="s">
        <v>27</v>
      </c>
      <c r="N113" s="28" t="s">
        <v>27</v>
      </c>
      <c r="O113" s="28" t="s">
        <v>27</v>
      </c>
      <c r="P113" s="56" t="s">
        <v>27</v>
      </c>
      <c r="Q113" s="56" t="s">
        <v>27</v>
      </c>
      <c r="R113" s="56" t="s">
        <v>27</v>
      </c>
      <c r="S113" s="4" t="s">
        <v>27</v>
      </c>
      <c r="T113" s="2" t="s">
        <v>27</v>
      </c>
      <c r="U113" s="2" t="s">
        <v>27</v>
      </c>
      <c r="V113" s="4" t="s">
        <v>27</v>
      </c>
      <c r="W113" s="4" t="s">
        <v>27</v>
      </c>
      <c r="X113" s="4" t="s">
        <v>27</v>
      </c>
      <c r="Y113" s="4" t="s">
        <v>27</v>
      </c>
      <c r="Z113" s="5" t="s">
        <v>27</v>
      </c>
      <c r="AA113" s="5" t="s">
        <v>27</v>
      </c>
      <c r="AB113" s="5" t="s">
        <v>27</v>
      </c>
      <c r="AC113" s="5" t="s">
        <v>27</v>
      </c>
      <c r="AD113" s="6" t="s">
        <v>551</v>
      </c>
    </row>
    <row r="114" spans="1:30" ht="30" x14ac:dyDescent="0.25">
      <c r="A114" s="55" t="s">
        <v>274</v>
      </c>
      <c r="B114" s="2">
        <v>2</v>
      </c>
      <c r="C114" s="2">
        <v>2</v>
      </c>
      <c r="D114" s="4" t="s">
        <v>254</v>
      </c>
      <c r="E114" s="2">
        <v>1</v>
      </c>
      <c r="F114" s="3" t="s">
        <v>27</v>
      </c>
      <c r="G114" s="3" t="s">
        <v>27</v>
      </c>
      <c r="H114" s="28" t="s">
        <v>461</v>
      </c>
      <c r="I114" s="3" t="s">
        <v>27</v>
      </c>
      <c r="J114" s="2">
        <v>1</v>
      </c>
      <c r="K114" s="4">
        <v>1</v>
      </c>
      <c r="L114" s="28" t="s">
        <v>27</v>
      </c>
      <c r="M114" s="28" t="s">
        <v>27</v>
      </c>
      <c r="N114" s="28" t="s">
        <v>27</v>
      </c>
      <c r="O114" s="28" t="s">
        <v>27</v>
      </c>
      <c r="P114" s="56" t="s">
        <v>27</v>
      </c>
      <c r="Q114" s="56" t="s">
        <v>27</v>
      </c>
      <c r="R114" s="56" t="s">
        <v>27</v>
      </c>
      <c r="S114" s="4" t="s">
        <v>27</v>
      </c>
      <c r="T114" s="2" t="s">
        <v>551</v>
      </c>
      <c r="U114" s="2" t="s">
        <v>551</v>
      </c>
      <c r="V114" s="4" t="s">
        <v>27</v>
      </c>
      <c r="W114" s="4" t="s">
        <v>27</v>
      </c>
      <c r="X114" s="4" t="s">
        <v>27</v>
      </c>
      <c r="Y114" s="4" t="s">
        <v>27</v>
      </c>
      <c r="Z114" s="5" t="s">
        <v>27</v>
      </c>
      <c r="AA114" s="5" t="s">
        <v>551</v>
      </c>
      <c r="AB114" s="5" t="s">
        <v>27</v>
      </c>
      <c r="AC114" s="5" t="s">
        <v>27</v>
      </c>
      <c r="AD114" s="6" t="s">
        <v>27</v>
      </c>
    </row>
    <row r="115" spans="1:30" ht="30" x14ac:dyDescent="0.25">
      <c r="A115" s="55" t="s">
        <v>268</v>
      </c>
      <c r="B115" s="2">
        <v>2</v>
      </c>
      <c r="C115" s="2">
        <v>2</v>
      </c>
      <c r="D115" s="4" t="s">
        <v>254</v>
      </c>
      <c r="E115" s="2">
        <v>2</v>
      </c>
      <c r="F115" s="3" t="s">
        <v>27</v>
      </c>
      <c r="G115" s="3" t="s">
        <v>53</v>
      </c>
      <c r="H115" s="28" t="s">
        <v>27</v>
      </c>
      <c r="I115" s="3" t="s">
        <v>27</v>
      </c>
      <c r="J115" s="2">
        <v>1</v>
      </c>
      <c r="K115" s="4">
        <v>1</v>
      </c>
      <c r="L115" s="28" t="s">
        <v>27</v>
      </c>
      <c r="M115" s="28" t="s">
        <v>27</v>
      </c>
      <c r="N115" s="28" t="s">
        <v>27</v>
      </c>
      <c r="O115" s="28" t="s">
        <v>27</v>
      </c>
      <c r="P115" s="56" t="s">
        <v>27</v>
      </c>
      <c r="Q115" s="56" t="s">
        <v>27</v>
      </c>
      <c r="R115" s="56" t="s">
        <v>27</v>
      </c>
      <c r="S115" s="4" t="s">
        <v>27</v>
      </c>
      <c r="T115" s="2" t="s">
        <v>27</v>
      </c>
      <c r="U115" s="2" t="s">
        <v>551</v>
      </c>
      <c r="V115" s="4" t="s">
        <v>27</v>
      </c>
      <c r="W115" s="4" t="s">
        <v>27</v>
      </c>
      <c r="X115" s="4" t="s">
        <v>27</v>
      </c>
      <c r="Y115" s="4" t="s">
        <v>27</v>
      </c>
      <c r="Z115" s="5" t="s">
        <v>27</v>
      </c>
      <c r="AA115" s="5" t="s">
        <v>27</v>
      </c>
      <c r="AB115" s="5" t="s">
        <v>27</v>
      </c>
      <c r="AC115" s="5" t="s">
        <v>27</v>
      </c>
      <c r="AD115" s="6" t="s">
        <v>551</v>
      </c>
    </row>
    <row r="116" spans="1:30" ht="30" x14ac:dyDescent="0.25">
      <c r="A116" s="1" t="s">
        <v>280</v>
      </c>
      <c r="B116" s="2">
        <v>1</v>
      </c>
      <c r="C116" s="2">
        <v>1</v>
      </c>
      <c r="D116" s="4" t="s">
        <v>254</v>
      </c>
      <c r="E116" s="2">
        <v>2</v>
      </c>
      <c r="F116" s="3" t="s">
        <v>27</v>
      </c>
      <c r="G116" s="3" t="s">
        <v>470</v>
      </c>
      <c r="H116" s="28" t="s">
        <v>27</v>
      </c>
      <c r="I116" s="3" t="s">
        <v>51</v>
      </c>
      <c r="J116" s="2" t="s">
        <v>27</v>
      </c>
      <c r="K116" s="4" t="s">
        <v>27</v>
      </c>
      <c r="L116" s="28" t="s">
        <v>27</v>
      </c>
      <c r="M116" s="28" t="s">
        <v>27</v>
      </c>
      <c r="N116" s="28" t="s">
        <v>27</v>
      </c>
      <c r="O116" s="28" t="s">
        <v>27</v>
      </c>
      <c r="P116" s="56" t="s">
        <v>27</v>
      </c>
      <c r="Q116" s="56" t="s">
        <v>27</v>
      </c>
      <c r="R116" s="56" t="s">
        <v>27</v>
      </c>
      <c r="S116" s="4" t="s">
        <v>27</v>
      </c>
      <c r="T116" s="2" t="s">
        <v>27</v>
      </c>
      <c r="U116" s="2" t="s">
        <v>551</v>
      </c>
      <c r="V116" s="4" t="s">
        <v>27</v>
      </c>
      <c r="W116" s="4" t="s">
        <v>27</v>
      </c>
      <c r="X116" s="4" t="s">
        <v>27</v>
      </c>
      <c r="Y116" s="4" t="s">
        <v>27</v>
      </c>
      <c r="Z116" s="5" t="s">
        <v>27</v>
      </c>
      <c r="AA116" s="5" t="s">
        <v>27</v>
      </c>
      <c r="AB116" s="5" t="s">
        <v>27</v>
      </c>
      <c r="AC116" s="5" t="s">
        <v>27</v>
      </c>
      <c r="AD116" s="6" t="s">
        <v>551</v>
      </c>
    </row>
    <row r="117" spans="1:30" ht="30" x14ac:dyDescent="0.25">
      <c r="A117" s="55" t="s">
        <v>286</v>
      </c>
      <c r="B117" s="2">
        <v>1</v>
      </c>
      <c r="C117" s="2">
        <v>1</v>
      </c>
      <c r="D117" s="4" t="s">
        <v>254</v>
      </c>
      <c r="E117" s="2">
        <v>2</v>
      </c>
      <c r="F117" s="3" t="s">
        <v>27</v>
      </c>
      <c r="G117" s="61" t="s">
        <v>468</v>
      </c>
      <c r="H117" s="28" t="s">
        <v>27</v>
      </c>
      <c r="I117" s="3" t="s">
        <v>27</v>
      </c>
      <c r="J117" s="2">
        <v>1</v>
      </c>
      <c r="K117" s="4">
        <v>1</v>
      </c>
      <c r="L117" s="28" t="s">
        <v>27</v>
      </c>
      <c r="M117" s="28" t="s">
        <v>27</v>
      </c>
      <c r="N117" s="28" t="s">
        <v>27</v>
      </c>
      <c r="O117" s="28" t="s">
        <v>27</v>
      </c>
      <c r="P117" s="56" t="s">
        <v>27</v>
      </c>
      <c r="Q117" s="56" t="s">
        <v>27</v>
      </c>
      <c r="R117" s="56" t="s">
        <v>27</v>
      </c>
      <c r="S117" s="4" t="s">
        <v>551</v>
      </c>
      <c r="T117" s="2" t="s">
        <v>27</v>
      </c>
      <c r="U117" s="2" t="s">
        <v>27</v>
      </c>
      <c r="V117" s="4" t="s">
        <v>27</v>
      </c>
      <c r="W117" s="4" t="s">
        <v>27</v>
      </c>
      <c r="X117" s="4" t="s">
        <v>27</v>
      </c>
      <c r="Y117" s="4" t="s">
        <v>27</v>
      </c>
      <c r="Z117" s="5" t="s">
        <v>27</v>
      </c>
      <c r="AA117" s="5" t="s">
        <v>551</v>
      </c>
      <c r="AB117" s="5" t="s">
        <v>27</v>
      </c>
      <c r="AC117" s="5" t="s">
        <v>27</v>
      </c>
      <c r="AD117" s="6" t="s">
        <v>27</v>
      </c>
    </row>
    <row r="118" spans="1:30" ht="30" x14ac:dyDescent="0.25">
      <c r="A118" s="55" t="s">
        <v>291</v>
      </c>
      <c r="B118" s="2">
        <v>1</v>
      </c>
      <c r="C118" s="2">
        <v>1</v>
      </c>
      <c r="D118" s="4" t="s">
        <v>254</v>
      </c>
      <c r="E118" s="2">
        <v>2</v>
      </c>
      <c r="F118" s="3" t="s">
        <v>27</v>
      </c>
      <c r="G118" s="3" t="s">
        <v>469</v>
      </c>
      <c r="H118" s="28" t="s">
        <v>27</v>
      </c>
      <c r="I118" s="3" t="s">
        <v>27</v>
      </c>
      <c r="J118" s="2" t="s">
        <v>27</v>
      </c>
      <c r="K118" s="4" t="s">
        <v>27</v>
      </c>
      <c r="L118" s="28" t="s">
        <v>27</v>
      </c>
      <c r="M118" s="28" t="s">
        <v>27</v>
      </c>
      <c r="N118" s="28" t="s">
        <v>27</v>
      </c>
      <c r="O118" s="28" t="s">
        <v>543</v>
      </c>
      <c r="P118" s="56" t="s">
        <v>27</v>
      </c>
      <c r="Q118" s="56" t="s">
        <v>27</v>
      </c>
      <c r="R118" s="56" t="s">
        <v>27</v>
      </c>
      <c r="S118" s="4" t="s">
        <v>27</v>
      </c>
      <c r="T118" s="2" t="s">
        <v>27</v>
      </c>
      <c r="U118" s="2" t="s">
        <v>27</v>
      </c>
      <c r="V118" s="4" t="s">
        <v>551</v>
      </c>
      <c r="W118" s="4" t="s">
        <v>27</v>
      </c>
      <c r="X118" s="4" t="s">
        <v>27</v>
      </c>
      <c r="Y118" s="4" t="s">
        <v>27</v>
      </c>
      <c r="Z118" s="5" t="s">
        <v>551</v>
      </c>
      <c r="AA118" s="5" t="s">
        <v>27</v>
      </c>
      <c r="AB118" s="5" t="s">
        <v>27</v>
      </c>
      <c r="AC118" s="5" t="s">
        <v>551</v>
      </c>
      <c r="AD118" s="6" t="s">
        <v>27</v>
      </c>
    </row>
    <row r="119" spans="1:30" ht="30" x14ac:dyDescent="0.25">
      <c r="A119" s="55" t="s">
        <v>271</v>
      </c>
      <c r="B119" s="2">
        <v>2</v>
      </c>
      <c r="C119" s="2">
        <v>2</v>
      </c>
      <c r="D119" s="4" t="s">
        <v>254</v>
      </c>
      <c r="E119" s="2">
        <v>2</v>
      </c>
      <c r="F119" s="3" t="s">
        <v>27</v>
      </c>
      <c r="G119" s="3" t="s">
        <v>465</v>
      </c>
      <c r="H119" s="28" t="s">
        <v>27</v>
      </c>
      <c r="I119" s="3" t="s">
        <v>27</v>
      </c>
      <c r="J119" s="2">
        <v>2</v>
      </c>
      <c r="K119" s="4" t="s">
        <v>27</v>
      </c>
      <c r="L119" s="28" t="s">
        <v>27</v>
      </c>
      <c r="M119" s="28" t="s">
        <v>27</v>
      </c>
      <c r="N119" s="28" t="s">
        <v>27</v>
      </c>
      <c r="O119" s="28" t="s">
        <v>27</v>
      </c>
      <c r="P119" s="56" t="s">
        <v>27</v>
      </c>
      <c r="Q119" s="56" t="s">
        <v>27</v>
      </c>
      <c r="R119" s="56" t="s">
        <v>27</v>
      </c>
      <c r="S119" s="4" t="s">
        <v>27</v>
      </c>
      <c r="T119" s="2" t="s">
        <v>551</v>
      </c>
      <c r="U119" s="2" t="s">
        <v>27</v>
      </c>
      <c r="V119" s="4" t="s">
        <v>27</v>
      </c>
      <c r="W119" s="4" t="s">
        <v>27</v>
      </c>
      <c r="X119" s="4" t="s">
        <v>27</v>
      </c>
      <c r="Y119" s="4" t="s">
        <v>27</v>
      </c>
      <c r="Z119" s="5" t="s">
        <v>27</v>
      </c>
      <c r="AA119" s="5" t="s">
        <v>551</v>
      </c>
      <c r="AB119" s="5" t="s">
        <v>27</v>
      </c>
      <c r="AC119" s="5" t="s">
        <v>27</v>
      </c>
      <c r="AD119" s="6" t="s">
        <v>551</v>
      </c>
    </row>
    <row r="120" spans="1:30" ht="30" x14ac:dyDescent="0.25">
      <c r="A120" s="55" t="s">
        <v>266</v>
      </c>
      <c r="B120" s="2">
        <v>1</v>
      </c>
      <c r="C120" s="2">
        <v>1</v>
      </c>
      <c r="D120" s="4" t="s">
        <v>254</v>
      </c>
      <c r="E120" s="2">
        <v>2</v>
      </c>
      <c r="F120" s="3" t="s">
        <v>27</v>
      </c>
      <c r="G120" s="61" t="s">
        <v>467</v>
      </c>
      <c r="H120" s="28" t="s">
        <v>27</v>
      </c>
      <c r="I120" s="3" t="s">
        <v>31</v>
      </c>
      <c r="J120" s="2">
        <v>1</v>
      </c>
      <c r="K120" s="4" t="s">
        <v>27</v>
      </c>
      <c r="L120" s="28" t="s">
        <v>27</v>
      </c>
      <c r="M120" s="28" t="s">
        <v>27</v>
      </c>
      <c r="N120" s="28" t="s">
        <v>27</v>
      </c>
      <c r="O120" s="28" t="s">
        <v>543</v>
      </c>
      <c r="P120" s="56" t="s">
        <v>27</v>
      </c>
      <c r="Q120" s="56" t="s">
        <v>27</v>
      </c>
      <c r="R120" s="56" t="s">
        <v>27</v>
      </c>
      <c r="S120" s="4" t="s">
        <v>27</v>
      </c>
      <c r="T120" s="2" t="s">
        <v>27</v>
      </c>
      <c r="U120" s="2" t="s">
        <v>27</v>
      </c>
      <c r="V120" s="4" t="s">
        <v>27</v>
      </c>
      <c r="W120" s="4" t="s">
        <v>551</v>
      </c>
      <c r="X120" s="4" t="s">
        <v>27</v>
      </c>
      <c r="Y120" s="4" t="s">
        <v>27</v>
      </c>
      <c r="Z120" s="5" t="s">
        <v>27</v>
      </c>
      <c r="AA120" s="5" t="s">
        <v>27</v>
      </c>
      <c r="AB120" s="5" t="s">
        <v>551</v>
      </c>
      <c r="AC120" s="5" t="s">
        <v>27</v>
      </c>
      <c r="AD120" s="6" t="s">
        <v>27</v>
      </c>
    </row>
    <row r="121" spans="1:30" ht="30" x14ac:dyDescent="0.25">
      <c r="A121" s="55" t="s">
        <v>261</v>
      </c>
      <c r="B121" s="2">
        <v>1</v>
      </c>
      <c r="C121" s="2">
        <v>1</v>
      </c>
      <c r="D121" s="4" t="s">
        <v>254</v>
      </c>
      <c r="E121" s="2">
        <v>2</v>
      </c>
      <c r="F121" s="3" t="s">
        <v>262</v>
      </c>
      <c r="G121" s="3" t="s">
        <v>27</v>
      </c>
      <c r="H121" s="28" t="s">
        <v>27</v>
      </c>
      <c r="I121" s="3" t="s">
        <v>466</v>
      </c>
      <c r="J121" s="2">
        <v>2</v>
      </c>
      <c r="K121" s="4">
        <v>1</v>
      </c>
      <c r="L121" s="28" t="s">
        <v>27</v>
      </c>
      <c r="M121" s="28" t="s">
        <v>27</v>
      </c>
      <c r="N121" s="28" t="s">
        <v>27</v>
      </c>
      <c r="O121" s="28" t="s">
        <v>543</v>
      </c>
      <c r="P121" s="56" t="s">
        <v>27</v>
      </c>
      <c r="Q121" s="56" t="s">
        <v>27</v>
      </c>
      <c r="R121" s="56" t="s">
        <v>27</v>
      </c>
      <c r="S121" s="4" t="s">
        <v>27</v>
      </c>
      <c r="T121" s="2" t="s">
        <v>27</v>
      </c>
      <c r="U121" s="2" t="s">
        <v>27</v>
      </c>
      <c r="V121" s="4" t="s">
        <v>27</v>
      </c>
      <c r="W121" s="4" t="s">
        <v>27</v>
      </c>
      <c r="X121" s="4" t="s">
        <v>27</v>
      </c>
      <c r="Y121" s="4" t="s">
        <v>27</v>
      </c>
      <c r="Z121" s="5" t="s">
        <v>27</v>
      </c>
      <c r="AA121" s="5" t="s">
        <v>27</v>
      </c>
      <c r="AB121" s="5" t="s">
        <v>551</v>
      </c>
      <c r="AC121" s="5" t="s">
        <v>551</v>
      </c>
      <c r="AD121" s="6" t="s">
        <v>27</v>
      </c>
    </row>
    <row r="122" spans="1:30" ht="30" x14ac:dyDescent="0.25">
      <c r="A122" s="55" t="s">
        <v>302</v>
      </c>
      <c r="B122" s="2">
        <v>1</v>
      </c>
      <c r="C122" s="2">
        <v>1</v>
      </c>
      <c r="D122" s="4" t="s">
        <v>254</v>
      </c>
      <c r="E122" s="2">
        <v>2</v>
      </c>
      <c r="F122" s="3" t="s">
        <v>27</v>
      </c>
      <c r="G122" s="3" t="s">
        <v>462</v>
      </c>
      <c r="H122" s="28" t="s">
        <v>27</v>
      </c>
      <c r="I122" s="61" t="s">
        <v>463</v>
      </c>
      <c r="J122" s="2" t="s">
        <v>27</v>
      </c>
      <c r="K122" s="4" t="s">
        <v>27</v>
      </c>
      <c r="L122" s="28" t="s">
        <v>27</v>
      </c>
      <c r="M122" s="28" t="s">
        <v>27</v>
      </c>
      <c r="N122" s="28" t="s">
        <v>27</v>
      </c>
      <c r="O122" s="28" t="s">
        <v>543</v>
      </c>
      <c r="P122" s="56" t="s">
        <v>27</v>
      </c>
      <c r="Q122" s="56" t="s">
        <v>27</v>
      </c>
      <c r="R122" s="56" t="s">
        <v>27</v>
      </c>
      <c r="S122" s="4" t="s">
        <v>551</v>
      </c>
      <c r="T122" s="2" t="s">
        <v>551</v>
      </c>
      <c r="U122" s="2" t="s">
        <v>551</v>
      </c>
      <c r="V122" s="4" t="s">
        <v>27</v>
      </c>
      <c r="W122" s="4" t="s">
        <v>27</v>
      </c>
      <c r="X122" s="4" t="s">
        <v>27</v>
      </c>
      <c r="Y122" s="4" t="s">
        <v>27</v>
      </c>
      <c r="Z122" s="5" t="s">
        <v>27</v>
      </c>
      <c r="AA122" s="5" t="s">
        <v>27</v>
      </c>
      <c r="AB122" s="5" t="s">
        <v>551</v>
      </c>
      <c r="AC122" s="5" t="s">
        <v>551</v>
      </c>
      <c r="AD122" s="6" t="s">
        <v>27</v>
      </c>
    </row>
    <row r="123" spans="1:30" ht="30" customHeight="1" x14ac:dyDescent="0.25">
      <c r="A123" s="55" t="s">
        <v>272</v>
      </c>
      <c r="B123" s="2">
        <v>1</v>
      </c>
      <c r="C123" s="2">
        <v>1</v>
      </c>
      <c r="D123" s="4" t="s">
        <v>254</v>
      </c>
      <c r="E123" s="2">
        <v>2</v>
      </c>
      <c r="F123" s="3" t="s">
        <v>27</v>
      </c>
      <c r="G123" s="61" t="s">
        <v>464</v>
      </c>
      <c r="H123" s="28" t="s">
        <v>27</v>
      </c>
      <c r="I123" s="3" t="s">
        <v>262</v>
      </c>
      <c r="J123" s="2">
        <v>1</v>
      </c>
      <c r="K123" s="4" t="s">
        <v>27</v>
      </c>
      <c r="L123" s="28" t="s">
        <v>27</v>
      </c>
      <c r="M123" s="28" t="s">
        <v>27</v>
      </c>
      <c r="N123" s="28" t="s">
        <v>27</v>
      </c>
      <c r="O123" s="28" t="s">
        <v>543</v>
      </c>
      <c r="P123" s="56" t="s">
        <v>27</v>
      </c>
      <c r="Q123" s="56" t="s">
        <v>27</v>
      </c>
      <c r="R123" s="56" t="s">
        <v>27</v>
      </c>
      <c r="S123" s="4" t="s">
        <v>27</v>
      </c>
      <c r="T123" s="2" t="s">
        <v>27</v>
      </c>
      <c r="U123" s="2" t="s">
        <v>27</v>
      </c>
      <c r="V123" s="4" t="s">
        <v>27</v>
      </c>
      <c r="W123" s="4" t="s">
        <v>27</v>
      </c>
      <c r="X123" s="4" t="s">
        <v>27</v>
      </c>
      <c r="Y123" s="4" t="s">
        <v>27</v>
      </c>
      <c r="Z123" s="5" t="s">
        <v>551</v>
      </c>
      <c r="AA123" s="5" t="s">
        <v>27</v>
      </c>
      <c r="AB123" s="5" t="s">
        <v>551</v>
      </c>
      <c r="AC123" s="5" t="s">
        <v>551</v>
      </c>
      <c r="AD123" s="6" t="s">
        <v>27</v>
      </c>
    </row>
    <row r="124" spans="1:30" ht="30" x14ac:dyDescent="0.25">
      <c r="A124" s="55" t="s">
        <v>277</v>
      </c>
      <c r="B124" s="2">
        <v>2</v>
      </c>
      <c r="C124" s="2">
        <v>2</v>
      </c>
      <c r="D124" s="4" t="s">
        <v>254</v>
      </c>
      <c r="E124" s="2">
        <v>3</v>
      </c>
      <c r="F124" s="3" t="s">
        <v>27</v>
      </c>
      <c r="G124" s="3" t="s">
        <v>262</v>
      </c>
      <c r="H124" s="28" t="s">
        <v>27</v>
      </c>
      <c r="I124" s="3" t="s">
        <v>471</v>
      </c>
      <c r="J124" s="2">
        <v>1</v>
      </c>
      <c r="K124" s="4" t="s">
        <v>27</v>
      </c>
      <c r="L124" s="28" t="s">
        <v>27</v>
      </c>
      <c r="M124" s="28" t="s">
        <v>27</v>
      </c>
      <c r="N124" s="28" t="s">
        <v>27</v>
      </c>
      <c r="O124" s="28" t="s">
        <v>543</v>
      </c>
      <c r="P124" s="56" t="s">
        <v>27</v>
      </c>
      <c r="Q124" s="56" t="s">
        <v>27</v>
      </c>
      <c r="R124" s="56" t="s">
        <v>27</v>
      </c>
      <c r="S124" s="4" t="s">
        <v>27</v>
      </c>
      <c r="T124" s="2" t="s">
        <v>27</v>
      </c>
      <c r="U124" s="2" t="s">
        <v>27</v>
      </c>
      <c r="V124" s="4" t="s">
        <v>27</v>
      </c>
      <c r="W124" s="4" t="s">
        <v>27</v>
      </c>
      <c r="X124" s="4" t="s">
        <v>551</v>
      </c>
      <c r="Y124" s="4" t="s">
        <v>27</v>
      </c>
      <c r="Z124" s="5" t="s">
        <v>27</v>
      </c>
      <c r="AA124" s="5" t="s">
        <v>551</v>
      </c>
      <c r="AB124" s="5" t="s">
        <v>27</v>
      </c>
      <c r="AC124" s="5" t="s">
        <v>27</v>
      </c>
      <c r="AD124" s="6" t="s">
        <v>27</v>
      </c>
    </row>
    <row r="125" spans="1:30" ht="30" x14ac:dyDescent="0.25">
      <c r="A125" s="55" t="s">
        <v>300</v>
      </c>
      <c r="B125" s="2">
        <v>1</v>
      </c>
      <c r="C125" s="2">
        <v>1</v>
      </c>
      <c r="D125" s="4" t="s">
        <v>254</v>
      </c>
      <c r="E125" s="2">
        <v>3</v>
      </c>
      <c r="F125" s="3" t="s">
        <v>27</v>
      </c>
      <c r="G125" s="3" t="s">
        <v>477</v>
      </c>
      <c r="H125" s="28" t="s">
        <v>27</v>
      </c>
      <c r="I125" s="3" t="s">
        <v>27</v>
      </c>
      <c r="J125" s="2">
        <v>2</v>
      </c>
      <c r="K125" s="4" t="s">
        <v>27</v>
      </c>
      <c r="L125" s="28" t="s">
        <v>27</v>
      </c>
      <c r="M125" s="28" t="s">
        <v>27</v>
      </c>
      <c r="N125" s="28" t="s">
        <v>27</v>
      </c>
      <c r="O125" s="28" t="s">
        <v>27</v>
      </c>
      <c r="P125" s="56" t="s">
        <v>27</v>
      </c>
      <c r="Q125" s="56" t="s">
        <v>27</v>
      </c>
      <c r="R125" s="56" t="s">
        <v>27</v>
      </c>
      <c r="S125" s="4" t="s">
        <v>27</v>
      </c>
      <c r="T125" s="2" t="s">
        <v>551</v>
      </c>
      <c r="U125" s="2" t="s">
        <v>27</v>
      </c>
      <c r="V125" s="4" t="s">
        <v>27</v>
      </c>
      <c r="W125" s="4" t="s">
        <v>27</v>
      </c>
      <c r="X125" s="4" t="s">
        <v>551</v>
      </c>
      <c r="Y125" s="4" t="s">
        <v>27</v>
      </c>
      <c r="Z125" s="5" t="s">
        <v>27</v>
      </c>
      <c r="AA125" s="5" t="s">
        <v>551</v>
      </c>
      <c r="AB125" s="5" t="s">
        <v>27</v>
      </c>
      <c r="AC125" s="5" t="s">
        <v>27</v>
      </c>
      <c r="AD125" s="6" t="s">
        <v>27</v>
      </c>
    </row>
    <row r="126" spans="1:30" ht="45" x14ac:dyDescent="0.25">
      <c r="A126" s="55" t="s">
        <v>265</v>
      </c>
      <c r="B126" s="2">
        <v>2</v>
      </c>
      <c r="C126" s="2">
        <v>2</v>
      </c>
      <c r="D126" s="4" t="s">
        <v>254</v>
      </c>
      <c r="E126" s="2">
        <v>3</v>
      </c>
      <c r="F126" s="3" t="s">
        <v>27</v>
      </c>
      <c r="G126" s="3" t="s">
        <v>53</v>
      </c>
      <c r="H126" s="28" t="s">
        <v>27</v>
      </c>
      <c r="I126" s="3" t="s">
        <v>472</v>
      </c>
      <c r="J126" s="2">
        <v>2</v>
      </c>
      <c r="K126" s="4" t="s">
        <v>27</v>
      </c>
      <c r="L126" s="28" t="s">
        <v>27</v>
      </c>
      <c r="M126" s="28" t="s">
        <v>27</v>
      </c>
      <c r="N126" s="28" t="s">
        <v>27</v>
      </c>
      <c r="O126" s="28" t="s">
        <v>27</v>
      </c>
      <c r="P126" s="56" t="s">
        <v>27</v>
      </c>
      <c r="Q126" s="56" t="s">
        <v>27</v>
      </c>
      <c r="R126" s="56" t="s">
        <v>27</v>
      </c>
      <c r="S126" s="4" t="s">
        <v>27</v>
      </c>
      <c r="T126" s="2" t="s">
        <v>551</v>
      </c>
      <c r="U126" s="2" t="s">
        <v>27</v>
      </c>
      <c r="V126" s="4" t="s">
        <v>27</v>
      </c>
      <c r="W126" s="4" t="s">
        <v>27</v>
      </c>
      <c r="X126" s="4" t="s">
        <v>27</v>
      </c>
      <c r="Y126" s="4" t="s">
        <v>27</v>
      </c>
      <c r="Z126" s="5" t="s">
        <v>551</v>
      </c>
      <c r="AA126" s="5" t="s">
        <v>27</v>
      </c>
      <c r="AB126" s="5" t="s">
        <v>27</v>
      </c>
      <c r="AC126" s="5" t="s">
        <v>551</v>
      </c>
      <c r="AD126" s="6" t="s">
        <v>27</v>
      </c>
    </row>
    <row r="127" spans="1:30" ht="30" x14ac:dyDescent="0.25">
      <c r="A127" s="55" t="s">
        <v>278</v>
      </c>
      <c r="B127" s="2">
        <v>1</v>
      </c>
      <c r="C127" s="2">
        <v>1</v>
      </c>
      <c r="D127" s="4" t="s">
        <v>254</v>
      </c>
      <c r="E127" s="2">
        <v>3</v>
      </c>
      <c r="F127" s="3" t="s">
        <v>27</v>
      </c>
      <c r="G127" s="3" t="s">
        <v>481</v>
      </c>
      <c r="H127" s="28" t="s">
        <v>27</v>
      </c>
      <c r="I127" s="3" t="s">
        <v>482</v>
      </c>
      <c r="J127" s="2" t="s">
        <v>27</v>
      </c>
      <c r="K127" s="4" t="s">
        <v>27</v>
      </c>
      <c r="L127" s="28" t="s">
        <v>27</v>
      </c>
      <c r="M127" s="28" t="s">
        <v>27</v>
      </c>
      <c r="N127" s="28" t="s">
        <v>551</v>
      </c>
      <c r="O127" s="28" t="s">
        <v>543</v>
      </c>
      <c r="P127" s="56" t="s">
        <v>27</v>
      </c>
      <c r="Q127" s="56" t="s">
        <v>27</v>
      </c>
      <c r="R127" s="56" t="s">
        <v>27</v>
      </c>
      <c r="S127" s="4" t="s">
        <v>27</v>
      </c>
      <c r="T127" s="2" t="s">
        <v>27</v>
      </c>
      <c r="U127" s="2" t="s">
        <v>27</v>
      </c>
      <c r="V127" s="4" t="s">
        <v>27</v>
      </c>
      <c r="W127" s="4" t="s">
        <v>27</v>
      </c>
      <c r="X127" s="4" t="s">
        <v>27</v>
      </c>
      <c r="Y127" s="4" t="s">
        <v>27</v>
      </c>
      <c r="Z127" s="5" t="s">
        <v>551</v>
      </c>
      <c r="AA127" s="5" t="s">
        <v>27</v>
      </c>
      <c r="AB127" s="5" t="s">
        <v>27</v>
      </c>
      <c r="AC127" s="5" t="s">
        <v>27</v>
      </c>
      <c r="AD127" s="6" t="s">
        <v>27</v>
      </c>
    </row>
    <row r="128" spans="1:30" ht="30" x14ac:dyDescent="0.25">
      <c r="A128" s="55" t="s">
        <v>294</v>
      </c>
      <c r="B128" s="2">
        <v>1</v>
      </c>
      <c r="C128" s="2">
        <v>1</v>
      </c>
      <c r="D128" s="4" t="s">
        <v>254</v>
      </c>
      <c r="E128" s="2">
        <v>3</v>
      </c>
      <c r="F128" s="3" t="s">
        <v>27</v>
      </c>
      <c r="G128" s="3" t="s">
        <v>473</v>
      </c>
      <c r="H128" s="28" t="s">
        <v>27</v>
      </c>
      <c r="I128" s="3" t="s">
        <v>27</v>
      </c>
      <c r="J128" s="2">
        <v>1</v>
      </c>
      <c r="K128" s="4">
        <v>1</v>
      </c>
      <c r="L128" s="28" t="s">
        <v>27</v>
      </c>
      <c r="M128" s="28" t="s">
        <v>27</v>
      </c>
      <c r="N128" s="28" t="s">
        <v>27</v>
      </c>
      <c r="O128" s="28" t="s">
        <v>27</v>
      </c>
      <c r="P128" s="56" t="s">
        <v>27</v>
      </c>
      <c r="Q128" s="56" t="s">
        <v>27</v>
      </c>
      <c r="R128" s="56" t="s">
        <v>27</v>
      </c>
      <c r="S128" s="4" t="s">
        <v>551</v>
      </c>
      <c r="T128" s="2" t="s">
        <v>27</v>
      </c>
      <c r="U128" s="2" t="s">
        <v>27</v>
      </c>
      <c r="V128" s="4" t="s">
        <v>27</v>
      </c>
      <c r="W128" s="4" t="s">
        <v>27</v>
      </c>
      <c r="X128" s="4" t="s">
        <v>27</v>
      </c>
      <c r="Y128" s="4" t="s">
        <v>27</v>
      </c>
      <c r="Z128" s="5" t="s">
        <v>551</v>
      </c>
      <c r="AA128" s="5" t="s">
        <v>27</v>
      </c>
      <c r="AB128" s="5" t="s">
        <v>27</v>
      </c>
      <c r="AC128" s="5" t="s">
        <v>27</v>
      </c>
      <c r="AD128" s="6" t="s">
        <v>27</v>
      </c>
    </row>
    <row r="129" spans="1:30" ht="30" customHeight="1" x14ac:dyDescent="0.25">
      <c r="A129" s="55" t="s">
        <v>285</v>
      </c>
      <c r="B129" s="2">
        <v>2</v>
      </c>
      <c r="C129" s="2">
        <v>2</v>
      </c>
      <c r="D129" s="4" t="s">
        <v>254</v>
      </c>
      <c r="E129" s="2">
        <v>3</v>
      </c>
      <c r="F129" s="3" t="s">
        <v>27</v>
      </c>
      <c r="G129" s="3" t="s">
        <v>474</v>
      </c>
      <c r="H129" s="28" t="s">
        <v>27</v>
      </c>
      <c r="I129" s="3" t="s">
        <v>27</v>
      </c>
      <c r="J129" s="2">
        <v>1</v>
      </c>
      <c r="K129" s="4">
        <v>1</v>
      </c>
      <c r="L129" s="28" t="s">
        <v>27</v>
      </c>
      <c r="M129" s="28" t="s">
        <v>27</v>
      </c>
      <c r="N129" s="28" t="s">
        <v>27</v>
      </c>
      <c r="O129" s="28" t="s">
        <v>543</v>
      </c>
      <c r="P129" s="56" t="s">
        <v>27</v>
      </c>
      <c r="Q129" s="56" t="s">
        <v>27</v>
      </c>
      <c r="R129" s="56" t="s">
        <v>27</v>
      </c>
      <c r="S129" s="4" t="s">
        <v>551</v>
      </c>
      <c r="T129" s="2" t="s">
        <v>551</v>
      </c>
      <c r="U129" s="2" t="s">
        <v>551</v>
      </c>
      <c r="V129" s="4" t="s">
        <v>27</v>
      </c>
      <c r="W129" s="4" t="s">
        <v>27</v>
      </c>
      <c r="X129" s="4" t="s">
        <v>27</v>
      </c>
      <c r="Y129" s="4" t="s">
        <v>27</v>
      </c>
      <c r="Z129" s="5" t="s">
        <v>27</v>
      </c>
      <c r="AA129" s="5" t="s">
        <v>27</v>
      </c>
      <c r="AB129" s="5" t="s">
        <v>551</v>
      </c>
      <c r="AC129" s="5" t="s">
        <v>551</v>
      </c>
      <c r="AD129" s="6" t="s">
        <v>27</v>
      </c>
    </row>
    <row r="130" spans="1:30" ht="30" customHeight="1" x14ac:dyDescent="0.25">
      <c r="A130" s="55" t="s">
        <v>263</v>
      </c>
      <c r="B130" s="2">
        <v>1</v>
      </c>
      <c r="C130" s="2">
        <v>1</v>
      </c>
      <c r="D130" s="4" t="s">
        <v>254</v>
      </c>
      <c r="E130" s="2">
        <v>3</v>
      </c>
      <c r="F130" s="3" t="s">
        <v>27</v>
      </c>
      <c r="G130" s="3" t="s">
        <v>475</v>
      </c>
      <c r="H130" s="28" t="s">
        <v>27</v>
      </c>
      <c r="I130" s="3" t="s">
        <v>27</v>
      </c>
      <c r="J130" s="2">
        <v>1</v>
      </c>
      <c r="K130" s="4" t="s">
        <v>27</v>
      </c>
      <c r="L130" s="60" t="s">
        <v>51</v>
      </c>
      <c r="M130" s="28" t="s">
        <v>27</v>
      </c>
      <c r="N130" s="28" t="s">
        <v>27</v>
      </c>
      <c r="O130" s="28" t="s">
        <v>27</v>
      </c>
      <c r="P130" s="56" t="s">
        <v>27</v>
      </c>
      <c r="Q130" s="56" t="s">
        <v>27</v>
      </c>
      <c r="R130" s="56" t="s">
        <v>27</v>
      </c>
      <c r="S130" s="4" t="s">
        <v>27</v>
      </c>
      <c r="T130" s="2" t="s">
        <v>551</v>
      </c>
      <c r="U130" s="2" t="s">
        <v>27</v>
      </c>
      <c r="V130" s="4" t="s">
        <v>27</v>
      </c>
      <c r="W130" s="4" t="s">
        <v>27</v>
      </c>
      <c r="X130" s="4" t="s">
        <v>27</v>
      </c>
      <c r="Y130" s="4" t="s">
        <v>27</v>
      </c>
      <c r="Z130" s="5" t="s">
        <v>27</v>
      </c>
      <c r="AA130" s="5" t="s">
        <v>27</v>
      </c>
      <c r="AB130" s="5" t="s">
        <v>27</v>
      </c>
      <c r="AC130" s="5" t="s">
        <v>27</v>
      </c>
      <c r="AD130" s="6" t="s">
        <v>551</v>
      </c>
    </row>
    <row r="131" spans="1:30" ht="30" x14ac:dyDescent="0.25">
      <c r="A131" s="55" t="s">
        <v>292</v>
      </c>
      <c r="B131" s="2">
        <v>1</v>
      </c>
      <c r="C131" s="2">
        <v>1</v>
      </c>
      <c r="D131" s="4" t="s">
        <v>254</v>
      </c>
      <c r="E131" s="2">
        <v>3</v>
      </c>
      <c r="F131" s="3" t="s">
        <v>27</v>
      </c>
      <c r="G131" s="3" t="s">
        <v>476</v>
      </c>
      <c r="H131" s="28" t="s">
        <v>27</v>
      </c>
      <c r="I131" s="3" t="s">
        <v>27</v>
      </c>
      <c r="J131" s="2">
        <v>1</v>
      </c>
      <c r="K131" s="4" t="s">
        <v>27</v>
      </c>
      <c r="L131" s="28" t="s">
        <v>27</v>
      </c>
      <c r="M131" s="28" t="s">
        <v>27</v>
      </c>
      <c r="N131" s="28" t="s">
        <v>27</v>
      </c>
      <c r="O131" s="28" t="s">
        <v>27</v>
      </c>
      <c r="P131" s="56" t="s">
        <v>27</v>
      </c>
      <c r="Q131" s="56" t="s">
        <v>27</v>
      </c>
      <c r="R131" s="56" t="s">
        <v>27</v>
      </c>
      <c r="S131" s="4" t="s">
        <v>27</v>
      </c>
      <c r="T131" s="2" t="s">
        <v>27</v>
      </c>
      <c r="U131" s="2" t="s">
        <v>27</v>
      </c>
      <c r="V131" s="4" t="s">
        <v>551</v>
      </c>
      <c r="W131" s="4" t="s">
        <v>551</v>
      </c>
      <c r="X131" s="4" t="s">
        <v>551</v>
      </c>
      <c r="Y131" s="4" t="s">
        <v>551</v>
      </c>
      <c r="Z131" s="5" t="s">
        <v>27</v>
      </c>
      <c r="AA131" s="5" t="s">
        <v>27</v>
      </c>
      <c r="AB131" s="5" t="s">
        <v>551</v>
      </c>
      <c r="AC131" s="5" t="s">
        <v>27</v>
      </c>
      <c r="AD131" s="6" t="s">
        <v>27</v>
      </c>
    </row>
    <row r="132" spans="1:30" ht="45" x14ac:dyDescent="0.25">
      <c r="A132" s="55" t="s">
        <v>284</v>
      </c>
      <c r="B132" s="2">
        <v>1</v>
      </c>
      <c r="C132" s="2">
        <v>1</v>
      </c>
      <c r="D132" s="4" t="s">
        <v>254</v>
      </c>
      <c r="E132" s="2">
        <v>3</v>
      </c>
      <c r="F132" s="3" t="s">
        <v>262</v>
      </c>
      <c r="G132" s="3" t="s">
        <v>478</v>
      </c>
      <c r="H132" s="28" t="s">
        <v>27</v>
      </c>
      <c r="I132" s="3" t="s">
        <v>479</v>
      </c>
      <c r="J132" s="2">
        <v>2</v>
      </c>
      <c r="K132" s="4" t="s">
        <v>27</v>
      </c>
      <c r="L132" s="28" t="s">
        <v>27</v>
      </c>
      <c r="M132" s="28" t="s">
        <v>27</v>
      </c>
      <c r="N132" s="28" t="s">
        <v>27</v>
      </c>
      <c r="O132" s="28" t="s">
        <v>543</v>
      </c>
      <c r="P132" s="56" t="s">
        <v>27</v>
      </c>
      <c r="Q132" s="56" t="s">
        <v>27</v>
      </c>
      <c r="R132" s="56" t="s">
        <v>27</v>
      </c>
      <c r="S132" s="4" t="s">
        <v>27</v>
      </c>
      <c r="T132" s="2" t="s">
        <v>27</v>
      </c>
      <c r="U132" s="2" t="s">
        <v>27</v>
      </c>
      <c r="V132" s="4" t="s">
        <v>27</v>
      </c>
      <c r="W132" s="4" t="s">
        <v>27</v>
      </c>
      <c r="X132" s="4" t="s">
        <v>27</v>
      </c>
      <c r="Y132" s="4" t="s">
        <v>27</v>
      </c>
      <c r="Z132" s="5" t="s">
        <v>551</v>
      </c>
      <c r="AA132" s="5" t="s">
        <v>27</v>
      </c>
      <c r="AB132" s="5" t="s">
        <v>551</v>
      </c>
      <c r="AC132" s="5" t="s">
        <v>27</v>
      </c>
      <c r="AD132" s="6" t="s">
        <v>27</v>
      </c>
    </row>
    <row r="133" spans="1:30" ht="30" x14ac:dyDescent="0.25">
      <c r="A133" s="55" t="s">
        <v>276</v>
      </c>
      <c r="B133" s="2">
        <v>2</v>
      </c>
      <c r="C133" s="2">
        <v>2</v>
      </c>
      <c r="D133" s="4" t="s">
        <v>254</v>
      </c>
      <c r="E133" s="2">
        <v>3</v>
      </c>
      <c r="F133" s="3" t="s">
        <v>27</v>
      </c>
      <c r="G133" s="3" t="s">
        <v>483</v>
      </c>
      <c r="H133" s="28" t="s">
        <v>27</v>
      </c>
      <c r="I133" s="3" t="s">
        <v>27</v>
      </c>
      <c r="J133" s="2">
        <v>1</v>
      </c>
      <c r="K133" s="4">
        <v>1</v>
      </c>
      <c r="L133" s="28" t="s">
        <v>27</v>
      </c>
      <c r="M133" s="28" t="s">
        <v>27</v>
      </c>
      <c r="N133" s="28" t="s">
        <v>27</v>
      </c>
      <c r="O133" s="28" t="s">
        <v>27</v>
      </c>
      <c r="P133" s="56" t="s">
        <v>27</v>
      </c>
      <c r="Q133" s="56" t="s">
        <v>27</v>
      </c>
      <c r="R133" s="56" t="s">
        <v>27</v>
      </c>
      <c r="S133" s="4" t="s">
        <v>27</v>
      </c>
      <c r="T133" s="2" t="s">
        <v>551</v>
      </c>
      <c r="U133" s="2" t="s">
        <v>551</v>
      </c>
      <c r="V133" s="4" t="s">
        <v>27</v>
      </c>
      <c r="W133" s="4" t="s">
        <v>27</v>
      </c>
      <c r="X133" s="4" t="s">
        <v>27</v>
      </c>
      <c r="Y133" s="4" t="s">
        <v>27</v>
      </c>
      <c r="Z133" s="5" t="s">
        <v>27</v>
      </c>
      <c r="AA133" s="5" t="s">
        <v>27</v>
      </c>
      <c r="AB133" s="5" t="s">
        <v>27</v>
      </c>
      <c r="AC133" s="5" t="s">
        <v>27</v>
      </c>
      <c r="AD133" s="6" t="s">
        <v>551</v>
      </c>
    </row>
    <row r="134" spans="1:30" ht="30" x14ac:dyDescent="0.25">
      <c r="A134" s="55" t="s">
        <v>255</v>
      </c>
      <c r="B134" s="2">
        <v>1</v>
      </c>
      <c r="C134" s="2">
        <v>1</v>
      </c>
      <c r="D134" s="4" t="s">
        <v>254</v>
      </c>
      <c r="E134" s="2">
        <v>3</v>
      </c>
      <c r="F134" s="3" t="s">
        <v>27</v>
      </c>
      <c r="G134" s="3" t="s">
        <v>51</v>
      </c>
      <c r="H134" s="28" t="s">
        <v>27</v>
      </c>
      <c r="I134" s="3" t="s">
        <v>27</v>
      </c>
      <c r="J134" s="2">
        <v>1</v>
      </c>
      <c r="K134" s="4" t="s">
        <v>27</v>
      </c>
      <c r="L134" s="60" t="s">
        <v>92</v>
      </c>
      <c r="M134" s="28" t="s">
        <v>27</v>
      </c>
      <c r="N134" s="28" t="s">
        <v>27</v>
      </c>
      <c r="O134" s="28" t="s">
        <v>27</v>
      </c>
      <c r="P134" s="56" t="s">
        <v>27</v>
      </c>
      <c r="Q134" s="56" t="s">
        <v>27</v>
      </c>
      <c r="R134" s="56" t="s">
        <v>27</v>
      </c>
      <c r="S134" s="4" t="s">
        <v>27</v>
      </c>
      <c r="T134" s="2" t="s">
        <v>551</v>
      </c>
      <c r="U134" s="2" t="s">
        <v>27</v>
      </c>
      <c r="V134" s="4" t="s">
        <v>27</v>
      </c>
      <c r="W134" s="4" t="s">
        <v>27</v>
      </c>
      <c r="X134" s="4" t="s">
        <v>27</v>
      </c>
      <c r="Y134" s="4" t="s">
        <v>27</v>
      </c>
      <c r="Z134" s="5" t="s">
        <v>27</v>
      </c>
      <c r="AA134" s="5" t="s">
        <v>27</v>
      </c>
      <c r="AB134" s="5" t="s">
        <v>27</v>
      </c>
      <c r="AC134" s="5" t="s">
        <v>27</v>
      </c>
      <c r="AD134" s="6" t="s">
        <v>551</v>
      </c>
    </row>
    <row r="135" spans="1:30" ht="30" x14ac:dyDescent="0.25">
      <c r="A135" s="55" t="s">
        <v>259</v>
      </c>
      <c r="B135" s="2">
        <v>2</v>
      </c>
      <c r="C135" s="2">
        <v>2</v>
      </c>
      <c r="D135" s="4" t="s">
        <v>254</v>
      </c>
      <c r="E135" s="2">
        <v>3</v>
      </c>
      <c r="F135" s="3" t="s">
        <v>27</v>
      </c>
      <c r="G135" s="3" t="s">
        <v>260</v>
      </c>
      <c r="H135" s="28" t="s">
        <v>27</v>
      </c>
      <c r="I135" s="3" t="s">
        <v>39</v>
      </c>
      <c r="J135" s="2" t="s">
        <v>27</v>
      </c>
      <c r="K135" s="4">
        <v>1</v>
      </c>
      <c r="L135" s="28" t="s">
        <v>27</v>
      </c>
      <c r="M135" s="28" t="s">
        <v>27</v>
      </c>
      <c r="N135" s="28" t="s">
        <v>27</v>
      </c>
      <c r="O135" s="28" t="s">
        <v>543</v>
      </c>
      <c r="P135" s="56" t="s">
        <v>27</v>
      </c>
      <c r="Q135" s="56" t="s">
        <v>27</v>
      </c>
      <c r="R135" s="56" t="s">
        <v>27</v>
      </c>
      <c r="S135" s="4" t="s">
        <v>27</v>
      </c>
      <c r="T135" s="2" t="s">
        <v>551</v>
      </c>
      <c r="U135" s="2" t="s">
        <v>27</v>
      </c>
      <c r="V135" s="4" t="s">
        <v>27</v>
      </c>
      <c r="W135" s="4" t="s">
        <v>27</v>
      </c>
      <c r="X135" s="4" t="s">
        <v>27</v>
      </c>
      <c r="Y135" s="4" t="s">
        <v>27</v>
      </c>
      <c r="Z135" s="5" t="s">
        <v>27</v>
      </c>
      <c r="AA135" s="5" t="s">
        <v>27</v>
      </c>
      <c r="AB135" s="5" t="s">
        <v>27</v>
      </c>
      <c r="AC135" s="5" t="s">
        <v>27</v>
      </c>
      <c r="AD135" s="6" t="s">
        <v>551</v>
      </c>
    </row>
    <row r="136" spans="1:30" ht="60" x14ac:dyDescent="0.25">
      <c r="A136" s="55" t="s">
        <v>298</v>
      </c>
      <c r="B136" s="2">
        <v>1</v>
      </c>
      <c r="C136" s="2">
        <v>1</v>
      </c>
      <c r="D136" s="4" t="s">
        <v>254</v>
      </c>
      <c r="E136" s="2">
        <v>4</v>
      </c>
      <c r="F136" s="3" t="s">
        <v>27</v>
      </c>
      <c r="G136" s="3" t="s">
        <v>409</v>
      </c>
      <c r="H136" s="28" t="s">
        <v>27</v>
      </c>
      <c r="I136" s="3" t="s">
        <v>490</v>
      </c>
      <c r="J136" s="2" t="s">
        <v>27</v>
      </c>
      <c r="K136" s="4" t="s">
        <v>27</v>
      </c>
      <c r="L136" s="28" t="s">
        <v>27</v>
      </c>
      <c r="M136" s="28" t="s">
        <v>27</v>
      </c>
      <c r="N136" s="28" t="s">
        <v>27</v>
      </c>
      <c r="O136" s="28" t="s">
        <v>27</v>
      </c>
      <c r="P136" s="56" t="s">
        <v>27</v>
      </c>
      <c r="Q136" s="56" t="s">
        <v>27</v>
      </c>
      <c r="R136" s="56" t="s">
        <v>27</v>
      </c>
      <c r="S136" s="4" t="s">
        <v>27</v>
      </c>
      <c r="T136" s="2" t="s">
        <v>551</v>
      </c>
      <c r="U136" s="2" t="s">
        <v>27</v>
      </c>
      <c r="V136" s="4" t="s">
        <v>27</v>
      </c>
      <c r="W136" s="4" t="s">
        <v>27</v>
      </c>
      <c r="X136" s="4" t="s">
        <v>27</v>
      </c>
      <c r="Y136" s="4" t="s">
        <v>27</v>
      </c>
      <c r="Z136" s="5" t="s">
        <v>27</v>
      </c>
      <c r="AA136" s="5" t="s">
        <v>27</v>
      </c>
      <c r="AB136" s="5" t="s">
        <v>27</v>
      </c>
      <c r="AC136" s="5" t="s">
        <v>27</v>
      </c>
      <c r="AD136" s="6" t="s">
        <v>27</v>
      </c>
    </row>
    <row r="137" spans="1:30" ht="30" x14ac:dyDescent="0.25">
      <c r="A137" s="55" t="s">
        <v>281</v>
      </c>
      <c r="B137" s="2">
        <v>2</v>
      </c>
      <c r="C137" s="2">
        <v>2</v>
      </c>
      <c r="D137" s="4" t="s">
        <v>254</v>
      </c>
      <c r="E137" s="2">
        <v>4</v>
      </c>
      <c r="F137" s="3" t="s">
        <v>27</v>
      </c>
      <c r="G137" s="3" t="s">
        <v>493</v>
      </c>
      <c r="H137" s="28" t="s">
        <v>27</v>
      </c>
      <c r="I137" s="3" t="s">
        <v>262</v>
      </c>
      <c r="J137" s="2">
        <v>1</v>
      </c>
      <c r="K137" s="4" t="s">
        <v>27</v>
      </c>
      <c r="L137" s="28" t="s">
        <v>27</v>
      </c>
      <c r="M137" s="28" t="s">
        <v>27</v>
      </c>
      <c r="N137" s="28" t="s">
        <v>27</v>
      </c>
      <c r="O137" s="28" t="s">
        <v>543</v>
      </c>
      <c r="P137" s="56" t="s">
        <v>27</v>
      </c>
      <c r="Q137" s="56" t="s">
        <v>27</v>
      </c>
      <c r="R137" s="56" t="s">
        <v>27</v>
      </c>
      <c r="S137" s="4" t="s">
        <v>27</v>
      </c>
      <c r="T137" s="2" t="s">
        <v>27</v>
      </c>
      <c r="U137" s="2" t="s">
        <v>27</v>
      </c>
      <c r="V137" s="4" t="s">
        <v>27</v>
      </c>
      <c r="W137" s="4" t="s">
        <v>27</v>
      </c>
      <c r="X137" s="4" t="s">
        <v>27</v>
      </c>
      <c r="Y137" s="4" t="s">
        <v>27</v>
      </c>
      <c r="Z137" s="5" t="s">
        <v>551</v>
      </c>
      <c r="AA137" s="5" t="s">
        <v>27</v>
      </c>
      <c r="AB137" s="5" t="s">
        <v>27</v>
      </c>
      <c r="AC137" s="5" t="s">
        <v>551</v>
      </c>
      <c r="AD137" s="6" t="s">
        <v>27</v>
      </c>
    </row>
    <row r="138" spans="1:30" ht="30" x14ac:dyDescent="0.25">
      <c r="A138" s="55" t="s">
        <v>296</v>
      </c>
      <c r="B138" s="2">
        <v>2</v>
      </c>
      <c r="C138" s="2">
        <v>2</v>
      </c>
      <c r="D138" s="4" t="s">
        <v>254</v>
      </c>
      <c r="E138" s="2">
        <v>4</v>
      </c>
      <c r="F138" s="3" t="s">
        <v>27</v>
      </c>
      <c r="G138" s="3" t="s">
        <v>491</v>
      </c>
      <c r="H138" s="28" t="s">
        <v>27</v>
      </c>
      <c r="I138" s="3" t="s">
        <v>492</v>
      </c>
      <c r="J138" s="2">
        <v>2</v>
      </c>
      <c r="K138" s="4" t="s">
        <v>29</v>
      </c>
      <c r="L138" s="28" t="s">
        <v>27</v>
      </c>
      <c r="M138" s="28" t="s">
        <v>27</v>
      </c>
      <c r="N138" s="28" t="s">
        <v>27</v>
      </c>
      <c r="O138" s="28" t="s">
        <v>27</v>
      </c>
      <c r="P138" s="56" t="s">
        <v>27</v>
      </c>
      <c r="Q138" s="56" t="s">
        <v>27</v>
      </c>
      <c r="R138" s="56" t="s">
        <v>27</v>
      </c>
      <c r="S138" s="4" t="s">
        <v>551</v>
      </c>
      <c r="T138" s="2" t="s">
        <v>27</v>
      </c>
      <c r="U138" s="2" t="s">
        <v>27</v>
      </c>
      <c r="V138" s="4" t="s">
        <v>551</v>
      </c>
      <c r="W138" s="4" t="s">
        <v>27</v>
      </c>
      <c r="X138" s="4" t="s">
        <v>27</v>
      </c>
      <c r="Y138" s="4" t="s">
        <v>27</v>
      </c>
      <c r="Z138" s="5" t="s">
        <v>27</v>
      </c>
      <c r="AA138" s="5" t="s">
        <v>27</v>
      </c>
      <c r="AB138" s="5" t="s">
        <v>27</v>
      </c>
      <c r="AC138" s="5" t="s">
        <v>551</v>
      </c>
      <c r="AD138" s="6" t="s">
        <v>27</v>
      </c>
    </row>
    <row r="139" spans="1:30" ht="30" x14ac:dyDescent="0.25">
      <c r="A139" s="55" t="s">
        <v>267</v>
      </c>
      <c r="B139" s="2">
        <v>1</v>
      </c>
      <c r="C139" s="2">
        <v>1</v>
      </c>
      <c r="D139" s="4" t="s">
        <v>254</v>
      </c>
      <c r="E139" s="2">
        <v>4</v>
      </c>
      <c r="F139" s="3" t="s">
        <v>27</v>
      </c>
      <c r="G139" s="3" t="s">
        <v>494</v>
      </c>
      <c r="H139" s="28" t="s">
        <v>27</v>
      </c>
      <c r="I139" s="3" t="s">
        <v>27</v>
      </c>
      <c r="J139" s="2" t="s">
        <v>27</v>
      </c>
      <c r="K139" s="4">
        <v>2</v>
      </c>
      <c r="L139" s="60" t="s">
        <v>443</v>
      </c>
      <c r="M139" s="28" t="s">
        <v>27</v>
      </c>
      <c r="N139" s="28" t="s">
        <v>27</v>
      </c>
      <c r="O139" s="28" t="s">
        <v>27</v>
      </c>
      <c r="P139" s="56" t="s">
        <v>27</v>
      </c>
      <c r="Q139" s="56" t="s">
        <v>27</v>
      </c>
      <c r="R139" s="56" t="s">
        <v>27</v>
      </c>
      <c r="S139" s="4" t="s">
        <v>27</v>
      </c>
      <c r="T139" s="2" t="s">
        <v>551</v>
      </c>
      <c r="U139" s="2" t="s">
        <v>551</v>
      </c>
      <c r="V139" s="4" t="s">
        <v>27</v>
      </c>
      <c r="W139" s="4" t="s">
        <v>27</v>
      </c>
      <c r="X139" s="4" t="s">
        <v>27</v>
      </c>
      <c r="Y139" s="4" t="s">
        <v>27</v>
      </c>
      <c r="Z139" s="5" t="s">
        <v>27</v>
      </c>
      <c r="AA139" s="5" t="s">
        <v>27</v>
      </c>
      <c r="AB139" s="5" t="s">
        <v>27</v>
      </c>
      <c r="AC139" s="5" t="s">
        <v>27</v>
      </c>
      <c r="AD139" s="6" t="s">
        <v>551</v>
      </c>
    </row>
    <row r="140" spans="1:30" ht="30" x14ac:dyDescent="0.25">
      <c r="A140" s="55" t="s">
        <v>303</v>
      </c>
      <c r="B140" s="2">
        <v>1</v>
      </c>
      <c r="C140" s="2">
        <v>1</v>
      </c>
      <c r="D140" s="4" t="s">
        <v>254</v>
      </c>
      <c r="E140" s="2">
        <v>4</v>
      </c>
      <c r="F140" s="3" t="s">
        <v>27</v>
      </c>
      <c r="G140" s="3" t="s">
        <v>486</v>
      </c>
      <c r="H140" s="28" t="s">
        <v>27</v>
      </c>
      <c r="I140" s="3" t="s">
        <v>487</v>
      </c>
      <c r="J140" s="2" t="s">
        <v>27</v>
      </c>
      <c r="K140" s="4" t="s">
        <v>27</v>
      </c>
      <c r="L140" s="28" t="s">
        <v>27</v>
      </c>
      <c r="M140" s="28" t="s">
        <v>27</v>
      </c>
      <c r="N140" s="28" t="s">
        <v>27</v>
      </c>
      <c r="O140" s="28" t="s">
        <v>543</v>
      </c>
      <c r="P140" s="56" t="s">
        <v>27</v>
      </c>
      <c r="Q140" s="56" t="s">
        <v>27</v>
      </c>
      <c r="R140" s="56" t="s">
        <v>27</v>
      </c>
      <c r="S140" s="4" t="s">
        <v>27</v>
      </c>
      <c r="T140" s="2" t="s">
        <v>27</v>
      </c>
      <c r="U140" s="2" t="s">
        <v>551</v>
      </c>
      <c r="V140" s="4" t="s">
        <v>27</v>
      </c>
      <c r="W140" s="4" t="s">
        <v>551</v>
      </c>
      <c r="X140" s="4" t="s">
        <v>27</v>
      </c>
      <c r="Y140" s="4" t="s">
        <v>27</v>
      </c>
      <c r="Z140" s="5" t="s">
        <v>27</v>
      </c>
      <c r="AA140" s="5" t="s">
        <v>27</v>
      </c>
      <c r="AB140" s="5" t="s">
        <v>551</v>
      </c>
      <c r="AC140" s="5" t="s">
        <v>27</v>
      </c>
      <c r="AD140" s="6" t="s">
        <v>27</v>
      </c>
    </row>
    <row r="141" spans="1:30" ht="30" x14ac:dyDescent="0.25">
      <c r="A141" s="55" t="s">
        <v>275</v>
      </c>
      <c r="B141" s="2">
        <v>1</v>
      </c>
      <c r="C141" s="2">
        <v>1</v>
      </c>
      <c r="D141" s="4" t="s">
        <v>254</v>
      </c>
      <c r="E141" s="2">
        <v>4</v>
      </c>
      <c r="F141" s="3" t="s">
        <v>27</v>
      </c>
      <c r="G141" s="3" t="s">
        <v>27</v>
      </c>
      <c r="H141" s="60" t="s">
        <v>95</v>
      </c>
      <c r="I141" s="3" t="s">
        <v>51</v>
      </c>
      <c r="J141" s="2" t="s">
        <v>27</v>
      </c>
      <c r="K141" s="4" t="s">
        <v>27</v>
      </c>
      <c r="L141" s="60" t="s">
        <v>488</v>
      </c>
      <c r="M141" s="28" t="s">
        <v>27</v>
      </c>
      <c r="N141" s="28" t="s">
        <v>27</v>
      </c>
      <c r="O141" s="28" t="s">
        <v>27</v>
      </c>
      <c r="P141" s="56" t="s">
        <v>27</v>
      </c>
      <c r="Q141" s="56" t="s">
        <v>27</v>
      </c>
      <c r="R141" s="56" t="s">
        <v>27</v>
      </c>
      <c r="S141" s="4" t="s">
        <v>27</v>
      </c>
      <c r="T141" s="2" t="s">
        <v>27</v>
      </c>
      <c r="U141" s="2" t="s">
        <v>27</v>
      </c>
      <c r="V141" s="4" t="s">
        <v>27</v>
      </c>
      <c r="W141" s="4" t="s">
        <v>27</v>
      </c>
      <c r="X141" s="4" t="s">
        <v>551</v>
      </c>
      <c r="Y141" s="4" t="s">
        <v>551</v>
      </c>
      <c r="Z141" s="5" t="s">
        <v>27</v>
      </c>
      <c r="AA141" s="5" t="s">
        <v>551</v>
      </c>
      <c r="AB141" s="5" t="s">
        <v>27</v>
      </c>
      <c r="AC141" s="5" t="s">
        <v>27</v>
      </c>
      <c r="AD141" s="6" t="s">
        <v>551</v>
      </c>
    </row>
    <row r="142" spans="1:30" ht="30" x14ac:dyDescent="0.25">
      <c r="A142" s="55" t="s">
        <v>253</v>
      </c>
      <c r="B142" s="2">
        <v>2</v>
      </c>
      <c r="C142" s="2">
        <v>2</v>
      </c>
      <c r="D142" s="4" t="s">
        <v>254</v>
      </c>
      <c r="E142" s="2">
        <v>4</v>
      </c>
      <c r="F142" s="3" t="s">
        <v>27</v>
      </c>
      <c r="G142" s="3" t="s">
        <v>27</v>
      </c>
      <c r="H142" s="28" t="s">
        <v>456</v>
      </c>
      <c r="I142" s="3" t="s">
        <v>27</v>
      </c>
      <c r="J142" s="2">
        <v>2</v>
      </c>
      <c r="K142" s="4">
        <v>1</v>
      </c>
      <c r="L142" s="28" t="s">
        <v>27</v>
      </c>
      <c r="M142" s="28" t="s">
        <v>27</v>
      </c>
      <c r="N142" s="28" t="s">
        <v>27</v>
      </c>
      <c r="O142" s="28" t="s">
        <v>27</v>
      </c>
      <c r="P142" s="56" t="s">
        <v>27</v>
      </c>
      <c r="Q142" s="56" t="s">
        <v>27</v>
      </c>
      <c r="R142" s="56" t="s">
        <v>27</v>
      </c>
      <c r="S142" s="4" t="s">
        <v>551</v>
      </c>
      <c r="T142" s="2" t="s">
        <v>551</v>
      </c>
      <c r="U142" s="2" t="s">
        <v>551</v>
      </c>
      <c r="V142" s="4" t="s">
        <v>27</v>
      </c>
      <c r="W142" s="4" t="s">
        <v>27</v>
      </c>
      <c r="X142" s="4" t="s">
        <v>27</v>
      </c>
      <c r="Y142" s="4" t="s">
        <v>27</v>
      </c>
      <c r="Z142" s="5" t="s">
        <v>27</v>
      </c>
      <c r="AA142" s="5" t="s">
        <v>551</v>
      </c>
      <c r="AB142" s="5" t="s">
        <v>27</v>
      </c>
      <c r="AC142" s="5" t="s">
        <v>27</v>
      </c>
      <c r="AD142" s="6" t="s">
        <v>27</v>
      </c>
    </row>
    <row r="143" spans="1:30" ht="30" customHeight="1" x14ac:dyDescent="0.25">
      <c r="A143" s="55" t="s">
        <v>258</v>
      </c>
      <c r="B143" s="2">
        <v>2</v>
      </c>
      <c r="C143" s="2">
        <v>2</v>
      </c>
      <c r="D143" s="4" t="s">
        <v>254</v>
      </c>
      <c r="E143" s="2">
        <v>4</v>
      </c>
      <c r="F143" s="3" t="s">
        <v>27</v>
      </c>
      <c r="G143" s="3" t="s">
        <v>27</v>
      </c>
      <c r="H143" s="28" t="s">
        <v>27</v>
      </c>
      <c r="I143" s="3" t="s">
        <v>27</v>
      </c>
      <c r="J143" s="2">
        <v>1</v>
      </c>
      <c r="K143" s="4" t="s">
        <v>27</v>
      </c>
      <c r="L143" s="28" t="s">
        <v>27</v>
      </c>
      <c r="M143" s="28" t="s">
        <v>27</v>
      </c>
      <c r="N143" s="28" t="s">
        <v>27</v>
      </c>
      <c r="O143" s="28" t="s">
        <v>27</v>
      </c>
      <c r="P143" s="56" t="s">
        <v>27</v>
      </c>
      <c r="Q143" s="56" t="s">
        <v>27</v>
      </c>
      <c r="R143" s="56" t="s">
        <v>27</v>
      </c>
      <c r="S143" s="4" t="s">
        <v>27</v>
      </c>
      <c r="T143" s="2" t="s">
        <v>27</v>
      </c>
      <c r="U143" s="2" t="s">
        <v>27</v>
      </c>
      <c r="V143" s="4" t="s">
        <v>551</v>
      </c>
      <c r="W143" s="4" t="s">
        <v>551</v>
      </c>
      <c r="X143" s="4" t="s">
        <v>551</v>
      </c>
      <c r="Y143" s="4" t="s">
        <v>551</v>
      </c>
      <c r="Z143" s="5" t="s">
        <v>27</v>
      </c>
      <c r="AA143" s="5" t="s">
        <v>551</v>
      </c>
      <c r="AB143" s="5" t="s">
        <v>27</v>
      </c>
      <c r="AC143" s="5" t="s">
        <v>27</v>
      </c>
      <c r="AD143" s="6" t="s">
        <v>27</v>
      </c>
    </row>
    <row r="144" spans="1:30" ht="30" customHeight="1" x14ac:dyDescent="0.25">
      <c r="A144" s="55" t="s">
        <v>295</v>
      </c>
      <c r="B144" s="2">
        <v>1</v>
      </c>
      <c r="C144" s="2">
        <v>1</v>
      </c>
      <c r="D144" s="4" t="s">
        <v>254</v>
      </c>
      <c r="E144" s="2">
        <v>5</v>
      </c>
      <c r="F144" s="3" t="s">
        <v>27</v>
      </c>
      <c r="G144" s="3" t="s">
        <v>495</v>
      </c>
      <c r="H144" s="28" t="s">
        <v>27</v>
      </c>
      <c r="I144" s="3" t="s">
        <v>496</v>
      </c>
      <c r="J144" s="2">
        <v>1</v>
      </c>
      <c r="K144" s="4" t="s">
        <v>27</v>
      </c>
      <c r="L144" s="28" t="s">
        <v>27</v>
      </c>
      <c r="M144" s="28" t="s">
        <v>27</v>
      </c>
      <c r="N144" s="28" t="s">
        <v>27</v>
      </c>
      <c r="O144" s="28" t="s">
        <v>27</v>
      </c>
      <c r="P144" s="56" t="s">
        <v>27</v>
      </c>
      <c r="Q144" s="56" t="s">
        <v>27</v>
      </c>
      <c r="R144" s="56" t="s">
        <v>27</v>
      </c>
      <c r="S144" s="4" t="s">
        <v>551</v>
      </c>
      <c r="T144" s="2" t="s">
        <v>27</v>
      </c>
      <c r="U144" s="2" t="s">
        <v>551</v>
      </c>
      <c r="V144" s="4" t="s">
        <v>27</v>
      </c>
      <c r="W144" s="4" t="s">
        <v>27</v>
      </c>
      <c r="X144" s="4" t="s">
        <v>27</v>
      </c>
      <c r="Y144" s="4" t="s">
        <v>27</v>
      </c>
      <c r="Z144" s="5" t="s">
        <v>27</v>
      </c>
      <c r="AA144" s="5" t="s">
        <v>27</v>
      </c>
      <c r="AB144" s="5" t="s">
        <v>27</v>
      </c>
      <c r="AC144" s="5" t="s">
        <v>27</v>
      </c>
      <c r="AD144" s="6" t="s">
        <v>27</v>
      </c>
    </row>
    <row r="145" spans="1:30" ht="30" x14ac:dyDescent="0.25">
      <c r="A145" s="55" t="s">
        <v>279</v>
      </c>
      <c r="B145" s="2">
        <v>1</v>
      </c>
      <c r="C145" s="2">
        <v>1</v>
      </c>
      <c r="D145" s="4" t="s">
        <v>254</v>
      </c>
      <c r="E145" s="2">
        <v>5</v>
      </c>
      <c r="F145" s="3" t="s">
        <v>27</v>
      </c>
      <c r="G145" s="3" t="s">
        <v>497</v>
      </c>
      <c r="H145" s="28" t="s">
        <v>27</v>
      </c>
      <c r="I145" s="3" t="s">
        <v>498</v>
      </c>
      <c r="J145" s="2" t="s">
        <v>27</v>
      </c>
      <c r="K145" s="4" t="s">
        <v>27</v>
      </c>
      <c r="L145" s="60" t="s">
        <v>488</v>
      </c>
      <c r="M145" s="28" t="s">
        <v>27</v>
      </c>
      <c r="N145" s="28" t="s">
        <v>27</v>
      </c>
      <c r="O145" s="28" t="s">
        <v>27</v>
      </c>
      <c r="P145" s="56" t="s">
        <v>27</v>
      </c>
      <c r="Q145" s="56" t="s">
        <v>27</v>
      </c>
      <c r="R145" s="56" t="s">
        <v>27</v>
      </c>
      <c r="S145" s="4" t="s">
        <v>27</v>
      </c>
      <c r="T145" s="2" t="s">
        <v>551</v>
      </c>
      <c r="U145" s="2" t="s">
        <v>551</v>
      </c>
      <c r="V145" s="4" t="s">
        <v>27</v>
      </c>
      <c r="W145" s="4" t="s">
        <v>27</v>
      </c>
      <c r="X145" s="4" t="s">
        <v>27</v>
      </c>
      <c r="Y145" s="4" t="s">
        <v>551</v>
      </c>
      <c r="Z145" s="5" t="s">
        <v>27</v>
      </c>
      <c r="AA145" s="5" t="s">
        <v>27</v>
      </c>
      <c r="AB145" s="5" t="s">
        <v>27</v>
      </c>
      <c r="AC145" s="5" t="s">
        <v>27</v>
      </c>
      <c r="AD145" s="6" t="s">
        <v>551</v>
      </c>
    </row>
    <row r="146" spans="1:30" ht="30" customHeight="1" x14ac:dyDescent="0.25">
      <c r="A146" s="55" t="s">
        <v>287</v>
      </c>
      <c r="B146" s="2">
        <v>1</v>
      </c>
      <c r="C146" s="2">
        <v>1</v>
      </c>
      <c r="D146" s="4" t="s">
        <v>254</v>
      </c>
      <c r="E146" s="2">
        <v>5</v>
      </c>
      <c r="F146" s="3" t="s">
        <v>262</v>
      </c>
      <c r="G146" s="3" t="s">
        <v>27</v>
      </c>
      <c r="H146" s="28" t="s">
        <v>501</v>
      </c>
      <c r="I146" s="3" t="s">
        <v>502</v>
      </c>
      <c r="J146" s="2">
        <v>2</v>
      </c>
      <c r="K146" s="4" t="s">
        <v>27</v>
      </c>
      <c r="L146" s="28" t="s">
        <v>27</v>
      </c>
      <c r="M146" s="28" t="s">
        <v>27</v>
      </c>
      <c r="N146" s="28" t="s">
        <v>27</v>
      </c>
      <c r="O146" s="28" t="s">
        <v>543</v>
      </c>
      <c r="P146" s="56" t="s">
        <v>27</v>
      </c>
      <c r="Q146" s="56" t="s">
        <v>27</v>
      </c>
      <c r="R146" s="56" t="s">
        <v>27</v>
      </c>
      <c r="S146" s="4" t="s">
        <v>27</v>
      </c>
      <c r="T146" s="2" t="s">
        <v>27</v>
      </c>
      <c r="U146" s="2" t="s">
        <v>27</v>
      </c>
      <c r="V146" s="4" t="s">
        <v>551</v>
      </c>
      <c r="W146" s="4" t="s">
        <v>27</v>
      </c>
      <c r="X146" s="4" t="s">
        <v>551</v>
      </c>
      <c r="Y146" s="4" t="s">
        <v>27</v>
      </c>
      <c r="Z146" s="5" t="s">
        <v>27</v>
      </c>
      <c r="AA146" s="5" t="s">
        <v>551</v>
      </c>
      <c r="AB146" s="5" t="s">
        <v>27</v>
      </c>
      <c r="AC146" s="5" t="s">
        <v>551</v>
      </c>
      <c r="AD146" s="6" t="s">
        <v>27</v>
      </c>
    </row>
    <row r="147" spans="1:30" ht="30" x14ac:dyDescent="0.25">
      <c r="A147" s="55" t="s">
        <v>283</v>
      </c>
      <c r="B147" s="2">
        <v>1</v>
      </c>
      <c r="C147" s="2">
        <v>1</v>
      </c>
      <c r="D147" s="4" t="s">
        <v>254</v>
      </c>
      <c r="E147" s="2">
        <v>5</v>
      </c>
      <c r="F147" s="3" t="s">
        <v>27</v>
      </c>
      <c r="G147" s="3" t="s">
        <v>503</v>
      </c>
      <c r="H147" s="28" t="s">
        <v>27</v>
      </c>
      <c r="I147" s="3" t="s">
        <v>504</v>
      </c>
      <c r="J147" s="2">
        <v>2</v>
      </c>
      <c r="K147" s="4">
        <v>1</v>
      </c>
      <c r="L147" s="28" t="s">
        <v>27</v>
      </c>
      <c r="M147" s="28" t="s">
        <v>27</v>
      </c>
      <c r="N147" s="28" t="s">
        <v>27</v>
      </c>
      <c r="O147" s="28" t="s">
        <v>543</v>
      </c>
      <c r="P147" s="56" t="s">
        <v>27</v>
      </c>
      <c r="Q147" s="56" t="s">
        <v>27</v>
      </c>
      <c r="R147" s="56" t="s">
        <v>27</v>
      </c>
      <c r="S147" s="4" t="s">
        <v>27</v>
      </c>
      <c r="T147" s="2" t="s">
        <v>27</v>
      </c>
      <c r="U147" s="2" t="s">
        <v>551</v>
      </c>
      <c r="V147" s="4" t="s">
        <v>27</v>
      </c>
      <c r="W147" s="4" t="s">
        <v>27</v>
      </c>
      <c r="X147" s="4" t="s">
        <v>27</v>
      </c>
      <c r="Y147" s="4" t="s">
        <v>551</v>
      </c>
      <c r="Z147" s="5" t="s">
        <v>27</v>
      </c>
      <c r="AA147" s="5" t="s">
        <v>27</v>
      </c>
      <c r="AB147" s="5" t="s">
        <v>27</v>
      </c>
      <c r="AC147" s="5" t="s">
        <v>27</v>
      </c>
      <c r="AD147" s="6" t="s">
        <v>551</v>
      </c>
    </row>
    <row r="148" spans="1:30" ht="30" x14ac:dyDescent="0.25">
      <c r="A148" s="55" t="s">
        <v>269</v>
      </c>
      <c r="B148" s="2">
        <v>2</v>
      </c>
      <c r="C148" s="2">
        <v>2</v>
      </c>
      <c r="D148" s="4" t="s">
        <v>254</v>
      </c>
      <c r="E148" s="2">
        <v>5</v>
      </c>
      <c r="F148" s="3" t="s">
        <v>27</v>
      </c>
      <c r="G148" s="3" t="s">
        <v>483</v>
      </c>
      <c r="H148" s="28" t="s">
        <v>27</v>
      </c>
      <c r="I148" s="3" t="s">
        <v>505</v>
      </c>
      <c r="J148" s="2">
        <v>2</v>
      </c>
      <c r="K148" s="4" t="s">
        <v>27</v>
      </c>
      <c r="L148" s="28" t="s">
        <v>27</v>
      </c>
      <c r="M148" s="60" t="s">
        <v>506</v>
      </c>
      <c r="N148" s="28" t="s">
        <v>27</v>
      </c>
      <c r="O148" s="28" t="s">
        <v>27</v>
      </c>
      <c r="P148" s="56" t="s">
        <v>27</v>
      </c>
      <c r="Q148" s="56" t="s">
        <v>27</v>
      </c>
      <c r="R148" s="56" t="s">
        <v>27</v>
      </c>
      <c r="S148" s="4" t="s">
        <v>27</v>
      </c>
      <c r="T148" s="2" t="s">
        <v>27</v>
      </c>
      <c r="U148" s="2" t="s">
        <v>551</v>
      </c>
      <c r="V148" s="4" t="s">
        <v>27</v>
      </c>
      <c r="W148" s="4" t="s">
        <v>551</v>
      </c>
      <c r="X148" s="4" t="s">
        <v>27</v>
      </c>
      <c r="Y148" s="4" t="s">
        <v>27</v>
      </c>
      <c r="Z148" s="5" t="s">
        <v>27</v>
      </c>
      <c r="AA148" s="5" t="s">
        <v>27</v>
      </c>
      <c r="AB148" s="5" t="s">
        <v>551</v>
      </c>
      <c r="AC148" s="5" t="s">
        <v>27</v>
      </c>
      <c r="AD148" s="6" t="s">
        <v>27</v>
      </c>
    </row>
    <row r="149" spans="1:30" ht="30" x14ac:dyDescent="0.25">
      <c r="A149" s="55" t="s">
        <v>273</v>
      </c>
      <c r="B149" s="2">
        <v>1</v>
      </c>
      <c r="C149" s="2">
        <v>1</v>
      </c>
      <c r="D149" s="4" t="s">
        <v>254</v>
      </c>
      <c r="E149" s="2">
        <v>5</v>
      </c>
      <c r="F149" s="3" t="s">
        <v>262</v>
      </c>
      <c r="G149" s="3" t="s">
        <v>507</v>
      </c>
      <c r="H149" s="28" t="s">
        <v>27</v>
      </c>
      <c r="I149" s="3" t="s">
        <v>27</v>
      </c>
      <c r="J149" s="2">
        <v>1</v>
      </c>
      <c r="K149" s="4">
        <v>3</v>
      </c>
      <c r="L149" s="28" t="s">
        <v>27</v>
      </c>
      <c r="M149" s="28" t="s">
        <v>27</v>
      </c>
      <c r="N149" s="28" t="s">
        <v>27</v>
      </c>
      <c r="O149" s="28" t="s">
        <v>543</v>
      </c>
      <c r="P149" s="56" t="s">
        <v>27</v>
      </c>
      <c r="Q149" s="56" t="s">
        <v>27</v>
      </c>
      <c r="R149" s="56" t="s">
        <v>27</v>
      </c>
      <c r="S149" s="4" t="s">
        <v>27</v>
      </c>
      <c r="T149" s="2" t="s">
        <v>27</v>
      </c>
      <c r="U149" s="2" t="s">
        <v>27</v>
      </c>
      <c r="V149" s="4" t="s">
        <v>27</v>
      </c>
      <c r="W149" s="4" t="s">
        <v>27</v>
      </c>
      <c r="X149" s="4" t="s">
        <v>27</v>
      </c>
      <c r="Y149" s="4" t="s">
        <v>27</v>
      </c>
      <c r="Z149" s="5" t="s">
        <v>551</v>
      </c>
      <c r="AA149" s="5" t="s">
        <v>27</v>
      </c>
      <c r="AB149" s="5" t="s">
        <v>27</v>
      </c>
      <c r="AC149" s="5" t="s">
        <v>27</v>
      </c>
      <c r="AD149" s="6" t="s">
        <v>27</v>
      </c>
    </row>
    <row r="150" spans="1:30" ht="30" x14ac:dyDescent="0.25">
      <c r="A150" s="55" t="s">
        <v>299</v>
      </c>
      <c r="B150" s="2">
        <v>1</v>
      </c>
      <c r="C150" s="2">
        <v>1</v>
      </c>
      <c r="D150" s="4" t="s">
        <v>254</v>
      </c>
      <c r="E150" s="2">
        <v>5</v>
      </c>
      <c r="F150" s="3" t="s">
        <v>262</v>
      </c>
      <c r="G150" s="3" t="s">
        <v>508</v>
      </c>
      <c r="H150" s="28" t="s">
        <v>27</v>
      </c>
      <c r="I150" s="3" t="s">
        <v>27</v>
      </c>
      <c r="J150" s="2">
        <v>1</v>
      </c>
      <c r="K150" s="4" t="s">
        <v>27</v>
      </c>
      <c r="L150" s="28" t="s">
        <v>27</v>
      </c>
      <c r="M150" s="28" t="s">
        <v>27</v>
      </c>
      <c r="N150" s="28" t="s">
        <v>27</v>
      </c>
      <c r="O150" s="28" t="s">
        <v>543</v>
      </c>
      <c r="P150" s="56" t="s">
        <v>27</v>
      </c>
      <c r="Q150" s="56" t="s">
        <v>27</v>
      </c>
      <c r="R150" s="56" t="s">
        <v>27</v>
      </c>
      <c r="S150" s="4" t="s">
        <v>27</v>
      </c>
      <c r="T150" s="2" t="s">
        <v>27</v>
      </c>
      <c r="U150" s="2" t="s">
        <v>27</v>
      </c>
      <c r="V150" s="4" t="s">
        <v>27</v>
      </c>
      <c r="W150" s="4" t="s">
        <v>27</v>
      </c>
      <c r="X150" s="4" t="s">
        <v>27</v>
      </c>
      <c r="Y150" s="4" t="s">
        <v>27</v>
      </c>
      <c r="Z150" s="5" t="s">
        <v>551</v>
      </c>
      <c r="AA150" s="5" t="s">
        <v>27</v>
      </c>
      <c r="AB150" s="5" t="s">
        <v>27</v>
      </c>
      <c r="AC150" s="5" t="s">
        <v>27</v>
      </c>
      <c r="AD150" s="6" t="s">
        <v>27</v>
      </c>
    </row>
    <row r="151" spans="1:30" ht="30" x14ac:dyDescent="0.25">
      <c r="A151" s="55" t="s">
        <v>306</v>
      </c>
      <c r="B151" s="2">
        <v>1</v>
      </c>
      <c r="C151" s="2">
        <v>1</v>
      </c>
      <c r="D151" s="4" t="s">
        <v>254</v>
      </c>
      <c r="E151" s="2">
        <v>5</v>
      </c>
      <c r="F151" s="3" t="s">
        <v>27</v>
      </c>
      <c r="G151" s="3" t="s">
        <v>509</v>
      </c>
      <c r="H151" s="28" t="s">
        <v>27</v>
      </c>
      <c r="I151" s="3" t="s">
        <v>212</v>
      </c>
      <c r="J151" s="2">
        <v>1</v>
      </c>
      <c r="K151" s="4" t="s">
        <v>27</v>
      </c>
      <c r="L151" s="28" t="s">
        <v>27</v>
      </c>
      <c r="M151" s="28" t="s">
        <v>27</v>
      </c>
      <c r="N151" s="28" t="s">
        <v>27</v>
      </c>
      <c r="O151" s="28" t="s">
        <v>27</v>
      </c>
      <c r="P151" s="56" t="s">
        <v>27</v>
      </c>
      <c r="Q151" s="56" t="s">
        <v>27</v>
      </c>
      <c r="R151" s="56" t="s">
        <v>27</v>
      </c>
      <c r="S151" s="4" t="s">
        <v>27</v>
      </c>
      <c r="T151" s="2" t="s">
        <v>27</v>
      </c>
      <c r="U151" s="2" t="s">
        <v>27</v>
      </c>
      <c r="V151" s="4" t="s">
        <v>551</v>
      </c>
      <c r="W151" s="4" t="s">
        <v>551</v>
      </c>
      <c r="X151" s="4" t="s">
        <v>551</v>
      </c>
      <c r="Y151" s="4" t="s">
        <v>551</v>
      </c>
      <c r="Z151" s="5" t="s">
        <v>27</v>
      </c>
      <c r="AA151" s="5" t="s">
        <v>27</v>
      </c>
      <c r="AB151" s="5" t="s">
        <v>27</v>
      </c>
      <c r="AC151" s="5" t="s">
        <v>551</v>
      </c>
      <c r="AD151" s="6" t="s">
        <v>27</v>
      </c>
    </row>
    <row r="152" spans="1:30" ht="30" x14ac:dyDescent="0.25">
      <c r="A152" s="55" t="s">
        <v>305</v>
      </c>
      <c r="B152" s="2">
        <v>1</v>
      </c>
      <c r="C152" s="2">
        <v>1</v>
      </c>
      <c r="D152" s="4" t="s">
        <v>254</v>
      </c>
      <c r="E152" s="2">
        <v>6</v>
      </c>
      <c r="F152" s="3" t="s">
        <v>27</v>
      </c>
      <c r="G152" s="3" t="s">
        <v>510</v>
      </c>
      <c r="H152" s="28" t="s">
        <v>27</v>
      </c>
      <c r="I152" s="3" t="s">
        <v>511</v>
      </c>
      <c r="J152" s="2" t="s">
        <v>27</v>
      </c>
      <c r="K152" s="4" t="s">
        <v>27</v>
      </c>
      <c r="L152" s="28" t="s">
        <v>27</v>
      </c>
      <c r="M152" s="28" t="s">
        <v>27</v>
      </c>
      <c r="N152" s="28" t="s">
        <v>27</v>
      </c>
      <c r="O152" s="28" t="s">
        <v>27</v>
      </c>
      <c r="P152" s="56" t="s">
        <v>27</v>
      </c>
      <c r="Q152" s="56" t="s">
        <v>27</v>
      </c>
      <c r="R152" s="56" t="s">
        <v>27</v>
      </c>
      <c r="S152" s="4" t="s">
        <v>551</v>
      </c>
      <c r="T152" s="2" t="s">
        <v>27</v>
      </c>
      <c r="U152" s="2" t="s">
        <v>27</v>
      </c>
      <c r="V152" s="4" t="s">
        <v>551</v>
      </c>
      <c r="W152" s="4" t="s">
        <v>27</v>
      </c>
      <c r="X152" s="4" t="s">
        <v>27</v>
      </c>
      <c r="Y152" s="4" t="s">
        <v>27</v>
      </c>
      <c r="Z152" s="5" t="s">
        <v>27</v>
      </c>
      <c r="AA152" s="5" t="s">
        <v>27</v>
      </c>
      <c r="AB152" s="5" t="s">
        <v>27</v>
      </c>
      <c r="AC152" s="5" t="s">
        <v>551</v>
      </c>
      <c r="AD152" s="6" t="s">
        <v>27</v>
      </c>
    </row>
    <row r="153" spans="1:30" ht="30" x14ac:dyDescent="0.25">
      <c r="A153" s="55" t="s">
        <v>264</v>
      </c>
      <c r="B153" s="2">
        <v>1</v>
      </c>
      <c r="C153" s="2">
        <v>1</v>
      </c>
      <c r="D153" s="4" t="s">
        <v>254</v>
      </c>
      <c r="E153" s="2">
        <v>6</v>
      </c>
      <c r="F153" s="3" t="s">
        <v>27</v>
      </c>
      <c r="G153" s="3" t="s">
        <v>512</v>
      </c>
      <c r="H153" s="28" t="s">
        <v>27</v>
      </c>
      <c r="I153" s="3" t="s">
        <v>513</v>
      </c>
      <c r="J153" s="2" t="s">
        <v>27</v>
      </c>
      <c r="K153" s="4" t="s">
        <v>27</v>
      </c>
      <c r="L153" s="28" t="s">
        <v>27</v>
      </c>
      <c r="M153" s="28" t="s">
        <v>27</v>
      </c>
      <c r="N153" s="28" t="s">
        <v>27</v>
      </c>
      <c r="O153" s="28" t="s">
        <v>543</v>
      </c>
      <c r="P153" s="56" t="s">
        <v>27</v>
      </c>
      <c r="Q153" s="56" t="s">
        <v>27</v>
      </c>
      <c r="R153" s="56" t="s">
        <v>27</v>
      </c>
      <c r="S153" s="4" t="s">
        <v>27</v>
      </c>
      <c r="T153" s="2" t="s">
        <v>27</v>
      </c>
      <c r="U153" s="2" t="s">
        <v>27</v>
      </c>
      <c r="V153" s="4" t="s">
        <v>27</v>
      </c>
      <c r="W153" s="4" t="s">
        <v>551</v>
      </c>
      <c r="X153" s="4" t="s">
        <v>27</v>
      </c>
      <c r="Y153" s="4" t="s">
        <v>27</v>
      </c>
      <c r="Z153" s="5" t="s">
        <v>27</v>
      </c>
      <c r="AA153" s="5" t="s">
        <v>27</v>
      </c>
      <c r="AB153" s="5" t="s">
        <v>27</v>
      </c>
      <c r="AC153" s="5" t="s">
        <v>27</v>
      </c>
      <c r="AD153" s="6" t="s">
        <v>551</v>
      </c>
    </row>
    <row r="154" spans="1:30" ht="30" customHeight="1" x14ac:dyDescent="0.25">
      <c r="A154" s="55" t="s">
        <v>293</v>
      </c>
      <c r="B154" s="2">
        <v>1</v>
      </c>
      <c r="C154" s="2">
        <v>1</v>
      </c>
      <c r="D154" s="4" t="s">
        <v>254</v>
      </c>
      <c r="E154" s="2">
        <v>6</v>
      </c>
      <c r="F154" s="3" t="s">
        <v>27</v>
      </c>
      <c r="G154" s="3" t="s">
        <v>514</v>
      </c>
      <c r="H154" s="28" t="s">
        <v>27</v>
      </c>
      <c r="I154" s="3" t="s">
        <v>515</v>
      </c>
      <c r="J154" s="2">
        <v>1</v>
      </c>
      <c r="K154" s="4" t="s">
        <v>27</v>
      </c>
      <c r="L154" s="28" t="s">
        <v>27</v>
      </c>
      <c r="M154" s="28" t="s">
        <v>27</v>
      </c>
      <c r="N154" s="28" t="s">
        <v>27</v>
      </c>
      <c r="O154" s="28" t="s">
        <v>27</v>
      </c>
      <c r="P154" s="56" t="s">
        <v>27</v>
      </c>
      <c r="Q154" s="56" t="s">
        <v>27</v>
      </c>
      <c r="R154" s="56" t="s">
        <v>27</v>
      </c>
      <c r="S154" s="4" t="s">
        <v>551</v>
      </c>
      <c r="T154" s="2" t="s">
        <v>551</v>
      </c>
      <c r="U154" s="2" t="s">
        <v>551</v>
      </c>
      <c r="V154" s="4" t="s">
        <v>27</v>
      </c>
      <c r="W154" s="4" t="s">
        <v>27</v>
      </c>
      <c r="X154" s="4" t="s">
        <v>27</v>
      </c>
      <c r="Y154" s="4" t="s">
        <v>27</v>
      </c>
      <c r="Z154" s="5" t="s">
        <v>27</v>
      </c>
      <c r="AA154" s="5" t="s">
        <v>27</v>
      </c>
      <c r="AB154" s="5" t="s">
        <v>551</v>
      </c>
      <c r="AC154" s="5" t="s">
        <v>27</v>
      </c>
      <c r="AD154" s="6" t="s">
        <v>27</v>
      </c>
    </row>
    <row r="155" spans="1:30" ht="30" x14ac:dyDescent="0.25">
      <c r="A155" s="55" t="s">
        <v>301</v>
      </c>
      <c r="B155" s="2">
        <v>1</v>
      </c>
      <c r="C155" s="2">
        <v>1</v>
      </c>
      <c r="D155" s="4" t="s">
        <v>254</v>
      </c>
      <c r="E155" s="2">
        <v>6</v>
      </c>
      <c r="F155" s="3" t="s">
        <v>409</v>
      </c>
      <c r="G155" s="3" t="s">
        <v>516</v>
      </c>
      <c r="H155" s="28" t="s">
        <v>27</v>
      </c>
      <c r="I155" s="3" t="s">
        <v>409</v>
      </c>
      <c r="J155" s="2">
        <v>2</v>
      </c>
      <c r="K155" s="4" t="s">
        <v>27</v>
      </c>
      <c r="L155" s="28" t="s">
        <v>27</v>
      </c>
      <c r="M155" s="28" t="s">
        <v>27</v>
      </c>
      <c r="N155" s="28" t="s">
        <v>27</v>
      </c>
      <c r="O155" s="28" t="s">
        <v>27</v>
      </c>
      <c r="P155" s="56" t="s">
        <v>27</v>
      </c>
      <c r="Q155" s="56" t="s">
        <v>27</v>
      </c>
      <c r="R155" s="56" t="s">
        <v>27</v>
      </c>
      <c r="S155" s="4" t="s">
        <v>27</v>
      </c>
      <c r="T155" s="2" t="s">
        <v>27</v>
      </c>
      <c r="U155" s="2" t="s">
        <v>27</v>
      </c>
      <c r="V155" s="4" t="s">
        <v>551</v>
      </c>
      <c r="W155" s="4" t="s">
        <v>27</v>
      </c>
      <c r="X155" s="4" t="s">
        <v>551</v>
      </c>
      <c r="Y155" s="4" t="s">
        <v>27</v>
      </c>
      <c r="Z155" s="5" t="s">
        <v>27</v>
      </c>
      <c r="AA155" s="5" t="s">
        <v>551</v>
      </c>
      <c r="AB155" s="5" t="s">
        <v>27</v>
      </c>
      <c r="AC155" s="5" t="s">
        <v>27</v>
      </c>
      <c r="AD155" s="6" t="s">
        <v>551</v>
      </c>
    </row>
    <row r="156" spans="1:30" ht="30" customHeight="1" x14ac:dyDescent="0.25">
      <c r="A156" s="55" t="s">
        <v>288</v>
      </c>
      <c r="B156" s="2">
        <v>1</v>
      </c>
      <c r="C156" s="2">
        <v>1</v>
      </c>
      <c r="D156" s="4" t="s">
        <v>254</v>
      </c>
      <c r="E156" s="2">
        <v>6</v>
      </c>
      <c r="F156" s="3" t="s">
        <v>27</v>
      </c>
      <c r="G156" s="3" t="s">
        <v>95</v>
      </c>
      <c r="H156" s="28" t="s">
        <v>27</v>
      </c>
      <c r="I156" s="3" t="s">
        <v>519</v>
      </c>
      <c r="J156" s="2" t="s">
        <v>27</v>
      </c>
      <c r="K156" s="4" t="s">
        <v>27</v>
      </c>
      <c r="L156" s="28" t="s">
        <v>29</v>
      </c>
      <c r="M156" s="28" t="s">
        <v>27</v>
      </c>
      <c r="N156" s="28" t="s">
        <v>27</v>
      </c>
      <c r="O156" s="28" t="s">
        <v>27</v>
      </c>
      <c r="P156" s="56" t="s">
        <v>27</v>
      </c>
      <c r="Q156" s="56" t="s">
        <v>27</v>
      </c>
      <c r="R156" s="56" t="s">
        <v>27</v>
      </c>
      <c r="S156" s="4" t="s">
        <v>27</v>
      </c>
      <c r="T156" s="2" t="s">
        <v>551</v>
      </c>
      <c r="U156" s="2" t="s">
        <v>551</v>
      </c>
      <c r="V156" s="4" t="s">
        <v>27</v>
      </c>
      <c r="W156" s="4" t="s">
        <v>27</v>
      </c>
      <c r="X156" s="4" t="s">
        <v>27</v>
      </c>
      <c r="Y156" s="4" t="s">
        <v>551</v>
      </c>
      <c r="Z156" s="5" t="s">
        <v>27</v>
      </c>
      <c r="AA156" s="5" t="s">
        <v>27</v>
      </c>
      <c r="AB156" s="5" t="s">
        <v>27</v>
      </c>
      <c r="AC156" s="5" t="s">
        <v>27</v>
      </c>
      <c r="AD156" s="6" t="s">
        <v>551</v>
      </c>
    </row>
    <row r="157" spans="1:30" ht="30" customHeight="1" x14ac:dyDescent="0.25">
      <c r="A157" s="55" t="s">
        <v>256</v>
      </c>
      <c r="B157" s="2">
        <v>1</v>
      </c>
      <c r="C157" s="2">
        <v>1</v>
      </c>
      <c r="D157" s="4" t="s">
        <v>254</v>
      </c>
      <c r="E157" s="2">
        <v>7</v>
      </c>
      <c r="F157" s="3" t="s">
        <v>27</v>
      </c>
      <c r="G157" s="3" t="s">
        <v>257</v>
      </c>
      <c r="H157" s="28" t="s">
        <v>27</v>
      </c>
      <c r="I157" s="3" t="s">
        <v>27</v>
      </c>
      <c r="J157" s="2">
        <v>2</v>
      </c>
      <c r="K157" s="4">
        <v>3</v>
      </c>
      <c r="L157" s="28" t="s">
        <v>27</v>
      </c>
      <c r="M157" s="28" t="s">
        <v>27</v>
      </c>
      <c r="N157" s="28" t="s">
        <v>27</v>
      </c>
      <c r="O157" s="28" t="s">
        <v>27</v>
      </c>
      <c r="P157" s="56" t="s">
        <v>27</v>
      </c>
      <c r="Q157" s="56" t="s">
        <v>27</v>
      </c>
      <c r="R157" s="56" t="s">
        <v>27</v>
      </c>
      <c r="S157" s="4" t="s">
        <v>27</v>
      </c>
      <c r="T157" s="2" t="s">
        <v>551</v>
      </c>
      <c r="U157" s="2" t="s">
        <v>27</v>
      </c>
      <c r="V157" s="4" t="s">
        <v>27</v>
      </c>
      <c r="W157" s="4" t="s">
        <v>27</v>
      </c>
      <c r="X157" s="4" t="s">
        <v>27</v>
      </c>
      <c r="Y157" s="4" t="s">
        <v>551</v>
      </c>
      <c r="Z157" s="5" t="s">
        <v>27</v>
      </c>
      <c r="AA157" s="5" t="s">
        <v>27</v>
      </c>
      <c r="AB157" s="5" t="s">
        <v>27</v>
      </c>
      <c r="AC157" s="5" t="s">
        <v>27</v>
      </c>
      <c r="AD157" s="6" t="s">
        <v>551</v>
      </c>
    </row>
    <row r="158" spans="1:30" ht="30" customHeight="1" x14ac:dyDescent="0.25">
      <c r="A158" s="55" t="s">
        <v>304</v>
      </c>
      <c r="B158" s="2">
        <v>1</v>
      </c>
      <c r="C158" s="2">
        <v>1</v>
      </c>
      <c r="D158" s="4" t="s">
        <v>254</v>
      </c>
      <c r="E158" s="2">
        <v>8</v>
      </c>
      <c r="F158" s="3" t="s">
        <v>212</v>
      </c>
      <c r="G158" s="3" t="s">
        <v>521</v>
      </c>
      <c r="H158" s="28" t="s">
        <v>27</v>
      </c>
      <c r="I158" s="3" t="s">
        <v>28</v>
      </c>
      <c r="J158" s="2">
        <v>2</v>
      </c>
      <c r="K158" s="4">
        <v>2</v>
      </c>
      <c r="L158" s="28" t="s">
        <v>27</v>
      </c>
      <c r="M158" s="28" t="s">
        <v>27</v>
      </c>
      <c r="N158" s="28" t="s">
        <v>27</v>
      </c>
      <c r="O158" s="28" t="s">
        <v>27</v>
      </c>
      <c r="P158" s="56" t="s">
        <v>27</v>
      </c>
      <c r="Q158" s="56" t="s">
        <v>27</v>
      </c>
      <c r="R158" s="56" t="s">
        <v>27</v>
      </c>
      <c r="S158" s="4" t="s">
        <v>27</v>
      </c>
      <c r="T158" s="2" t="s">
        <v>27</v>
      </c>
      <c r="U158" s="2" t="s">
        <v>27</v>
      </c>
      <c r="V158" s="4" t="s">
        <v>551</v>
      </c>
      <c r="W158" s="4" t="s">
        <v>551</v>
      </c>
      <c r="X158" s="4" t="s">
        <v>551</v>
      </c>
      <c r="Y158" s="4" t="s">
        <v>551</v>
      </c>
      <c r="Z158" s="5" t="s">
        <v>27</v>
      </c>
      <c r="AA158" s="5" t="s">
        <v>27</v>
      </c>
      <c r="AB158" s="5" t="s">
        <v>27</v>
      </c>
      <c r="AC158" s="5" t="s">
        <v>27</v>
      </c>
      <c r="AD158" s="6" t="s">
        <v>27</v>
      </c>
    </row>
    <row r="159" spans="1:30" ht="30" customHeight="1" x14ac:dyDescent="0.25">
      <c r="A159" s="55" t="s">
        <v>290</v>
      </c>
      <c r="B159" s="2">
        <v>1</v>
      </c>
      <c r="C159" s="2">
        <v>1</v>
      </c>
      <c r="D159" s="4" t="s">
        <v>254</v>
      </c>
      <c r="E159" s="2">
        <v>8</v>
      </c>
      <c r="F159" s="3" t="s">
        <v>522</v>
      </c>
      <c r="G159" s="3" t="s">
        <v>523</v>
      </c>
      <c r="H159" s="28" t="s">
        <v>27</v>
      </c>
      <c r="I159" s="3" t="s">
        <v>92</v>
      </c>
      <c r="J159" s="2">
        <v>2</v>
      </c>
      <c r="K159" s="4" t="s">
        <v>27</v>
      </c>
      <c r="L159" s="28" t="s">
        <v>27</v>
      </c>
      <c r="M159" s="28" t="s">
        <v>27</v>
      </c>
      <c r="N159" s="28" t="s">
        <v>27</v>
      </c>
      <c r="O159" s="28" t="s">
        <v>27</v>
      </c>
      <c r="P159" s="56" t="s">
        <v>27</v>
      </c>
      <c r="Q159" s="56" t="s">
        <v>27</v>
      </c>
      <c r="R159" s="56" t="s">
        <v>27</v>
      </c>
      <c r="S159" s="4" t="s">
        <v>551</v>
      </c>
      <c r="T159" s="2" t="s">
        <v>551</v>
      </c>
      <c r="U159" s="2" t="s">
        <v>551</v>
      </c>
      <c r="V159" s="4" t="s">
        <v>27</v>
      </c>
      <c r="W159" s="4" t="s">
        <v>551</v>
      </c>
      <c r="X159" s="4" t="s">
        <v>27</v>
      </c>
      <c r="Y159" s="4" t="s">
        <v>27</v>
      </c>
      <c r="Z159" s="5" t="s">
        <v>27</v>
      </c>
      <c r="AA159" s="5" t="s">
        <v>27</v>
      </c>
      <c r="AB159" s="5" t="s">
        <v>551</v>
      </c>
      <c r="AC159" s="5" t="s">
        <v>27</v>
      </c>
      <c r="AD159" s="6" t="s">
        <v>27</v>
      </c>
    </row>
    <row r="160" spans="1:30" x14ac:dyDescent="0.25">
      <c r="A160" s="30" t="s">
        <v>27</v>
      </c>
      <c r="B160" s="30" t="s">
        <v>27</v>
      </c>
      <c r="C160" s="7" t="s">
        <v>27</v>
      </c>
      <c r="D160" s="7" t="s">
        <v>27</v>
      </c>
      <c r="E160" s="7" t="s">
        <v>27</v>
      </c>
      <c r="F160" s="8" t="s">
        <v>27</v>
      </c>
      <c r="G160" s="8" t="s">
        <v>27</v>
      </c>
      <c r="H160" s="9" t="s">
        <v>27</v>
      </c>
      <c r="I160" s="8" t="s">
        <v>27</v>
      </c>
      <c r="J160" s="7" t="s">
        <v>27</v>
      </c>
      <c r="K160" s="9" t="s">
        <v>27</v>
      </c>
      <c r="L160" s="9">
        <f>SUM($B$3:$B$159)-SUMIF(L$3:L$159,"-",$B$3:$B$159)</f>
        <v>19</v>
      </c>
      <c r="M160" s="9" t="s">
        <v>27</v>
      </c>
      <c r="N160" s="9">
        <f t="shared" ref="L160:AC160" si="0">SUMIF(N$3:N$159,"X",$B$3:$B$159)</f>
        <v>0</v>
      </c>
      <c r="O160" s="9" t="s">
        <v>27</v>
      </c>
      <c r="P160" s="9">
        <f t="shared" si="0"/>
        <v>0</v>
      </c>
      <c r="Q160" s="9">
        <f t="shared" si="0"/>
        <v>0</v>
      </c>
      <c r="R160" s="9">
        <f t="shared" si="0"/>
        <v>0</v>
      </c>
      <c r="S160" s="9">
        <f t="shared" si="0"/>
        <v>0</v>
      </c>
      <c r="T160" s="9">
        <f t="shared" si="0"/>
        <v>0</v>
      </c>
      <c r="U160" s="9">
        <f t="shared" si="0"/>
        <v>0</v>
      </c>
      <c r="V160" s="9">
        <f t="shared" si="0"/>
        <v>0</v>
      </c>
      <c r="W160" s="9">
        <f t="shared" si="0"/>
        <v>0</v>
      </c>
      <c r="X160" s="9">
        <f t="shared" si="0"/>
        <v>0</v>
      </c>
      <c r="Y160" s="9">
        <f t="shared" si="0"/>
        <v>0</v>
      </c>
      <c r="Z160" s="9">
        <f t="shared" si="0"/>
        <v>0</v>
      </c>
      <c r="AA160" s="9">
        <f t="shared" si="0"/>
        <v>0</v>
      </c>
      <c r="AB160" s="9">
        <f t="shared" si="0"/>
        <v>0</v>
      </c>
      <c r="AC160" s="9">
        <f t="shared" si="0"/>
        <v>0</v>
      </c>
      <c r="AD160" s="9">
        <f>SUMIF(AD$3:AD$159,"X",$B$3:$B$159)</f>
        <v>0</v>
      </c>
    </row>
    <row r="161" spans="18:30" ht="51" customHeight="1" x14ac:dyDescent="0.25">
      <c r="R161" s="65" t="s">
        <v>545</v>
      </c>
      <c r="S161" s="65"/>
      <c r="T161" s="65"/>
      <c r="U161" s="65"/>
      <c r="V161" s="65"/>
      <c r="W161" s="65"/>
      <c r="X161" s="65"/>
      <c r="Y161" s="65"/>
      <c r="Z161" s="65"/>
      <c r="AA161" s="65"/>
      <c r="AB161" s="65"/>
      <c r="AC161" s="65"/>
      <c r="AD161" s="65"/>
    </row>
  </sheetData>
  <mergeCells count="1">
    <mergeCell ref="R161:AD161"/>
  </mergeCells>
  <phoneticPr fontId="4" type="noConversion"/>
  <conditionalFormatting sqref="S2:S159">
    <cfRule type="cellIs" dxfId="14" priority="2" operator="notEqual">
      <formula>"-"</formula>
    </cfRule>
  </conditionalFormatting>
  <conditionalFormatting sqref="T2:T159">
    <cfRule type="cellIs" dxfId="13" priority="8" operator="notEqual">
      <formula>"-"</formula>
    </cfRule>
  </conditionalFormatting>
  <conditionalFormatting sqref="U2:U159">
    <cfRule type="cellIs" dxfId="12" priority="7" operator="notEqual">
      <formula>"-"</formula>
    </cfRule>
  </conditionalFormatting>
  <conditionalFormatting sqref="V2:V159">
    <cfRule type="cellIs" dxfId="11" priority="6" operator="notEqual">
      <formula>"-"</formula>
    </cfRule>
  </conditionalFormatting>
  <conditionalFormatting sqref="V162:V1048576">
    <cfRule type="cellIs" dxfId="10" priority="9" operator="equal">
      <formula>"X"</formula>
    </cfRule>
  </conditionalFormatting>
  <conditionalFormatting sqref="W2:W159">
    <cfRule type="cellIs" dxfId="9" priority="5" operator="notEqual">
      <formula>"-"</formula>
    </cfRule>
  </conditionalFormatting>
  <conditionalFormatting sqref="X2:X159">
    <cfRule type="cellIs" dxfId="8" priority="4" operator="notEqual">
      <formula>"-"</formula>
    </cfRule>
  </conditionalFormatting>
  <conditionalFormatting sqref="Y3:Y159">
    <cfRule type="cellIs" dxfId="7" priority="3" operator="notEqual">
      <formula>"-"</formula>
    </cfRule>
  </conditionalFormatting>
  <printOptions horizontalCentered="1" verticalCentered="1"/>
  <pageMargins left="0.23622047244094491" right="0.23622047244094491" top="0.74803149606299213" bottom="0.74803149606299213" header="0.31496062992125984" footer="0.31496062992125984"/>
  <pageSetup paperSize="9" scale="56" fitToHeight="3"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A0F0-C67D-4CE8-AE1D-D7645DA6EF83}">
  <dimension ref="A1:B10"/>
  <sheetViews>
    <sheetView tabSelected="1" workbookViewId="0">
      <selection activeCell="E10" sqref="E10"/>
    </sheetView>
  </sheetViews>
  <sheetFormatPr defaultRowHeight="15" x14ac:dyDescent="0.25"/>
  <cols>
    <col min="1" max="1" width="13.140625" bestFit="1" customWidth="1"/>
    <col min="2" max="2" width="29.7109375" bestFit="1" customWidth="1"/>
    <col min="3" max="9" width="11.28515625" bestFit="1" customWidth="1"/>
    <col min="10" max="10" width="24.140625" bestFit="1" customWidth="1"/>
    <col min="11" max="11" width="33.28515625" bestFit="1" customWidth="1"/>
    <col min="12" max="12" width="24.140625" bestFit="1" customWidth="1"/>
    <col min="13" max="13" width="34.7109375" bestFit="1" customWidth="1"/>
    <col min="14" max="14" width="25.5703125" bestFit="1" customWidth="1"/>
    <col min="15" max="17" width="9" bestFit="1" customWidth="1"/>
    <col min="18" max="18" width="11.28515625" bestFit="1" customWidth="1"/>
    <col min="19" max="19" width="6.5703125" bestFit="1" customWidth="1"/>
    <col min="20" max="20" width="6" bestFit="1" customWidth="1"/>
    <col min="21" max="24" width="9" bestFit="1" customWidth="1"/>
    <col min="25" max="25" width="11.28515625" bestFit="1" customWidth="1"/>
    <col min="26" max="29" width="9" bestFit="1" customWidth="1"/>
    <col min="30" max="30" width="11.28515625" bestFit="1" customWidth="1"/>
  </cols>
  <sheetData>
    <row r="1" spans="1:2" x14ac:dyDescent="0.25">
      <c r="A1" s="67" t="s">
        <v>546</v>
      </c>
      <c r="B1" t="s">
        <v>554</v>
      </c>
    </row>
    <row r="2" spans="1:2" x14ac:dyDescent="0.25">
      <c r="A2" s="11">
        <v>1</v>
      </c>
      <c r="B2" s="66">
        <v>23</v>
      </c>
    </row>
    <row r="3" spans="1:2" x14ac:dyDescent="0.25">
      <c r="A3" s="11">
        <v>2</v>
      </c>
      <c r="B3" s="66">
        <v>34</v>
      </c>
    </row>
    <row r="4" spans="1:2" x14ac:dyDescent="0.25">
      <c r="A4" s="11">
        <v>3</v>
      </c>
      <c r="B4" s="66">
        <v>53</v>
      </c>
    </row>
    <row r="5" spans="1:2" x14ac:dyDescent="0.25">
      <c r="A5" s="11">
        <v>4</v>
      </c>
      <c r="B5" s="66">
        <v>35</v>
      </c>
    </row>
    <row r="6" spans="1:2" x14ac:dyDescent="0.25">
      <c r="A6" s="11">
        <v>5</v>
      </c>
      <c r="B6" s="66">
        <v>34</v>
      </c>
    </row>
    <row r="7" spans="1:2" x14ac:dyDescent="0.25">
      <c r="A7" s="11">
        <v>6</v>
      </c>
      <c r="B7" s="66">
        <v>17</v>
      </c>
    </row>
    <row r="8" spans="1:2" x14ac:dyDescent="0.25">
      <c r="A8" s="11">
        <v>7</v>
      </c>
      <c r="B8" s="66">
        <v>5</v>
      </c>
    </row>
    <row r="9" spans="1:2" x14ac:dyDescent="0.25">
      <c r="A9" s="11">
        <v>8</v>
      </c>
      <c r="B9" s="66">
        <v>6</v>
      </c>
    </row>
    <row r="10" spans="1:2" x14ac:dyDescent="0.25">
      <c r="A10" s="11" t="s">
        <v>547</v>
      </c>
      <c r="B10" s="66">
        <v>207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
  <sheetViews>
    <sheetView workbookViewId="0">
      <selection activeCell="E15" sqref="E15"/>
    </sheetView>
  </sheetViews>
  <sheetFormatPr defaultColWidth="11" defaultRowHeight="15" x14ac:dyDescent="0.25"/>
  <sheetData>
    <row r="1" spans="1:21" ht="45" x14ac:dyDescent="0.25">
      <c r="A1" s="15" t="s">
        <v>0</v>
      </c>
      <c r="B1" s="12" t="s">
        <v>1</v>
      </c>
      <c r="C1" s="12" t="s">
        <v>2</v>
      </c>
      <c r="D1" s="12" t="s">
        <v>3</v>
      </c>
      <c r="E1" s="14" t="s">
        <v>4</v>
      </c>
      <c r="F1" s="14" t="s">
        <v>5</v>
      </c>
      <c r="G1" s="12" t="s">
        <v>312</v>
      </c>
      <c r="H1" s="12" t="s">
        <v>313</v>
      </c>
      <c r="I1" s="14" t="s">
        <v>6</v>
      </c>
      <c r="J1" s="12" t="s">
        <v>314</v>
      </c>
      <c r="K1" s="12" t="s">
        <v>315</v>
      </c>
      <c r="L1" s="12" t="s">
        <v>316</v>
      </c>
      <c r="M1" s="12" t="s">
        <v>317</v>
      </c>
      <c r="N1" s="12" t="s">
        <v>318</v>
      </c>
      <c r="O1" s="12" t="s">
        <v>319</v>
      </c>
      <c r="P1" s="12" t="s">
        <v>320</v>
      </c>
      <c r="Q1" s="29" t="s">
        <v>20</v>
      </c>
      <c r="R1" s="29" t="s">
        <v>21</v>
      </c>
      <c r="S1" s="29" t="s">
        <v>22</v>
      </c>
      <c r="T1" s="29" t="s">
        <v>23</v>
      </c>
      <c r="U1" s="29" t="s">
        <v>24</v>
      </c>
    </row>
    <row r="2" spans="1:21" ht="45" x14ac:dyDescent="0.25">
      <c r="A2" s="57" t="s">
        <v>321</v>
      </c>
      <c r="B2" s="2">
        <v>8</v>
      </c>
      <c r="C2" s="4" t="s">
        <v>322</v>
      </c>
      <c r="D2" s="2">
        <v>2</v>
      </c>
      <c r="E2" s="3" t="s">
        <v>27</v>
      </c>
      <c r="F2" s="3" t="s">
        <v>27</v>
      </c>
      <c r="G2" s="2">
        <v>2</v>
      </c>
      <c r="H2" s="2" t="s">
        <v>27</v>
      </c>
      <c r="I2" s="3" t="s">
        <v>27</v>
      </c>
      <c r="J2" s="4" t="s">
        <v>29</v>
      </c>
      <c r="K2" s="2" t="s">
        <v>29</v>
      </c>
      <c r="L2" s="4" t="s">
        <v>27</v>
      </c>
      <c r="M2" s="4" t="s">
        <v>27</v>
      </c>
      <c r="N2" s="4" t="s">
        <v>27</v>
      </c>
      <c r="O2" s="4" t="s">
        <v>27</v>
      </c>
      <c r="P2" s="4" t="s">
        <v>27</v>
      </c>
      <c r="Q2" s="28" t="s">
        <v>27</v>
      </c>
      <c r="R2" s="6" t="s">
        <v>27</v>
      </c>
      <c r="S2" s="6" t="s">
        <v>27</v>
      </c>
      <c r="T2" s="6" t="s">
        <v>27</v>
      </c>
      <c r="U2" s="2" t="s">
        <v>29</v>
      </c>
    </row>
    <row r="3" spans="1:21" ht="60" x14ac:dyDescent="0.25">
      <c r="A3" s="58" t="s">
        <v>323</v>
      </c>
      <c r="B3" s="53">
        <v>6</v>
      </c>
      <c r="C3" s="50" t="s">
        <v>322</v>
      </c>
      <c r="D3" s="53" t="s">
        <v>27</v>
      </c>
      <c r="E3" s="51"/>
      <c r="F3" s="51" t="s">
        <v>324</v>
      </c>
      <c r="G3" s="50" t="s">
        <v>27</v>
      </c>
      <c r="H3" s="50" t="s">
        <v>27</v>
      </c>
      <c r="I3" s="51" t="s">
        <v>27</v>
      </c>
      <c r="J3" s="53" t="s">
        <v>29</v>
      </c>
      <c r="K3" s="53" t="s">
        <v>29</v>
      </c>
      <c r="L3" s="53" t="s">
        <v>29</v>
      </c>
      <c r="M3" s="53" t="s">
        <v>29</v>
      </c>
      <c r="N3" s="53" t="s">
        <v>29</v>
      </c>
      <c r="O3" s="53" t="s">
        <v>29</v>
      </c>
      <c r="P3" s="53" t="s">
        <v>29</v>
      </c>
      <c r="Q3" s="49" t="s">
        <v>27</v>
      </c>
      <c r="R3" s="54" t="s">
        <v>27</v>
      </c>
      <c r="S3" s="54" t="s">
        <v>27</v>
      </c>
      <c r="T3" s="54" t="s">
        <v>27</v>
      </c>
      <c r="U3" s="50" t="s">
        <v>27</v>
      </c>
    </row>
    <row r="4" spans="1:21" ht="45" x14ac:dyDescent="0.25">
      <c r="A4" s="57" t="s">
        <v>325</v>
      </c>
      <c r="B4" s="2">
        <v>10</v>
      </c>
      <c r="C4" s="4" t="s">
        <v>322</v>
      </c>
      <c r="D4" s="2">
        <v>9</v>
      </c>
      <c r="E4" s="61" t="s">
        <v>539</v>
      </c>
      <c r="F4" s="3" t="s">
        <v>27</v>
      </c>
      <c r="G4" s="4" t="s">
        <v>27</v>
      </c>
      <c r="H4" s="4" t="s">
        <v>27</v>
      </c>
      <c r="I4" s="3" t="s">
        <v>39</v>
      </c>
      <c r="J4" s="4" t="s">
        <v>27</v>
      </c>
      <c r="K4" s="4" t="s">
        <v>27</v>
      </c>
      <c r="L4" s="4" t="s">
        <v>27</v>
      </c>
      <c r="M4" s="4" t="s">
        <v>27</v>
      </c>
      <c r="N4" s="4" t="s">
        <v>27</v>
      </c>
      <c r="O4" s="4" t="s">
        <v>27</v>
      </c>
      <c r="P4" s="4" t="s">
        <v>27</v>
      </c>
      <c r="Q4" s="28" t="s">
        <v>27</v>
      </c>
      <c r="R4" s="5" t="s">
        <v>27</v>
      </c>
      <c r="S4" s="5" t="s">
        <v>27</v>
      </c>
      <c r="T4" s="5" t="s">
        <v>27</v>
      </c>
      <c r="U4" s="4" t="s">
        <v>27</v>
      </c>
    </row>
    <row r="5" spans="1:21" ht="45" x14ac:dyDescent="0.25">
      <c r="A5" s="58" t="s">
        <v>326</v>
      </c>
      <c r="B5" s="53">
        <v>2</v>
      </c>
      <c r="C5" s="50" t="s">
        <v>327</v>
      </c>
      <c r="D5" s="53" t="s">
        <v>27</v>
      </c>
      <c r="E5" s="51" t="s">
        <v>27</v>
      </c>
      <c r="F5" s="51" t="s">
        <v>27</v>
      </c>
      <c r="G5" s="53">
        <v>2</v>
      </c>
      <c r="H5" s="53" t="s">
        <v>27</v>
      </c>
      <c r="I5" s="51" t="s">
        <v>27</v>
      </c>
      <c r="J5" s="50" t="s">
        <v>27</v>
      </c>
      <c r="K5" s="50" t="s">
        <v>27</v>
      </c>
      <c r="L5" s="50" t="s">
        <v>27</v>
      </c>
      <c r="M5" s="50" t="s">
        <v>27</v>
      </c>
      <c r="N5" s="50" t="s">
        <v>27</v>
      </c>
      <c r="O5" s="50" t="s">
        <v>27</v>
      </c>
      <c r="P5" s="50" t="s">
        <v>27</v>
      </c>
      <c r="Q5" s="52" t="s">
        <v>27</v>
      </c>
      <c r="R5" s="54" t="s">
        <v>27</v>
      </c>
      <c r="S5" s="54" t="s">
        <v>27</v>
      </c>
      <c r="T5" s="54" t="s">
        <v>27</v>
      </c>
      <c r="U5" s="50" t="s">
        <v>27</v>
      </c>
    </row>
    <row r="6" spans="1:21" ht="45" x14ac:dyDescent="0.25">
      <c r="A6" s="57" t="s">
        <v>328</v>
      </c>
      <c r="B6" s="2">
        <v>2</v>
      </c>
      <c r="C6" s="4" t="s">
        <v>327</v>
      </c>
      <c r="D6" s="2" t="s">
        <v>27</v>
      </c>
      <c r="E6" s="3" t="s">
        <v>27</v>
      </c>
      <c r="F6" s="3" t="s">
        <v>27</v>
      </c>
      <c r="G6" s="2" t="s">
        <v>27</v>
      </c>
      <c r="H6" s="2">
        <v>1</v>
      </c>
      <c r="I6" s="3" t="s">
        <v>27</v>
      </c>
      <c r="J6" s="2" t="s">
        <v>29</v>
      </c>
      <c r="K6" s="4" t="s">
        <v>27</v>
      </c>
      <c r="L6" s="4" t="s">
        <v>27</v>
      </c>
      <c r="M6" s="4" t="s">
        <v>27</v>
      </c>
      <c r="N6" s="4" t="s">
        <v>27</v>
      </c>
      <c r="O6" s="4" t="s">
        <v>27</v>
      </c>
      <c r="P6" s="4" t="s">
        <v>27</v>
      </c>
      <c r="Q6" s="28" t="s">
        <v>27</v>
      </c>
      <c r="R6" s="5" t="s">
        <v>27</v>
      </c>
      <c r="S6" s="5" t="s">
        <v>27</v>
      </c>
      <c r="T6" s="5" t="s">
        <v>27</v>
      </c>
      <c r="U6" s="4" t="s">
        <v>27</v>
      </c>
    </row>
    <row r="7" spans="1:21" ht="45" x14ac:dyDescent="0.25">
      <c r="A7" s="58" t="s">
        <v>329</v>
      </c>
      <c r="B7" s="53">
        <v>1</v>
      </c>
      <c r="C7" s="50" t="s">
        <v>327</v>
      </c>
      <c r="D7" s="53" t="s">
        <v>27</v>
      </c>
      <c r="E7" s="51" t="s">
        <v>27</v>
      </c>
      <c r="F7" s="51" t="s">
        <v>27</v>
      </c>
      <c r="G7" s="53">
        <v>1</v>
      </c>
      <c r="H7" s="53" t="s">
        <v>27</v>
      </c>
      <c r="I7" s="51" t="s">
        <v>27</v>
      </c>
      <c r="J7" s="50" t="s">
        <v>27</v>
      </c>
      <c r="K7" s="50" t="s">
        <v>27</v>
      </c>
      <c r="L7" s="50" t="s">
        <v>27</v>
      </c>
      <c r="M7" s="53" t="s">
        <v>29</v>
      </c>
      <c r="N7" s="53" t="s">
        <v>29</v>
      </c>
      <c r="O7" s="53" t="s">
        <v>29</v>
      </c>
      <c r="P7" s="53" t="s">
        <v>29</v>
      </c>
      <c r="Q7" s="49" t="s">
        <v>27</v>
      </c>
      <c r="R7" s="54" t="s">
        <v>27</v>
      </c>
      <c r="S7" s="54" t="s">
        <v>27</v>
      </c>
      <c r="T7" s="54" t="s">
        <v>27</v>
      </c>
      <c r="U7" s="50" t="s">
        <v>27</v>
      </c>
    </row>
    <row r="8" spans="1:21" ht="60" x14ac:dyDescent="0.25">
      <c r="A8" s="57" t="s">
        <v>330</v>
      </c>
      <c r="B8" s="2">
        <v>2</v>
      </c>
      <c r="C8" s="4" t="s">
        <v>327</v>
      </c>
      <c r="D8" s="2" t="s">
        <v>27</v>
      </c>
      <c r="E8" s="3" t="s">
        <v>27</v>
      </c>
      <c r="F8" s="3" t="s">
        <v>27</v>
      </c>
      <c r="G8" s="2">
        <v>1</v>
      </c>
      <c r="H8" s="2" t="s">
        <v>27</v>
      </c>
      <c r="I8" s="3" t="s">
        <v>27</v>
      </c>
      <c r="J8" s="4" t="s">
        <v>27</v>
      </c>
      <c r="K8" s="4" t="s">
        <v>27</v>
      </c>
      <c r="L8" s="2" t="s">
        <v>29</v>
      </c>
      <c r="M8" s="4" t="s">
        <v>27</v>
      </c>
      <c r="N8" s="4" t="s">
        <v>27</v>
      </c>
      <c r="O8" s="4" t="s">
        <v>27</v>
      </c>
      <c r="P8" s="4" t="s">
        <v>27</v>
      </c>
      <c r="Q8" s="28" t="s">
        <v>27</v>
      </c>
      <c r="R8" s="5" t="s">
        <v>27</v>
      </c>
      <c r="S8" s="5" t="s">
        <v>27</v>
      </c>
      <c r="T8" s="5" t="s">
        <v>27</v>
      </c>
      <c r="U8" s="4" t="s">
        <v>27</v>
      </c>
    </row>
    <row r="9" spans="1:21" ht="45" x14ac:dyDescent="0.25">
      <c r="A9" s="58" t="s">
        <v>331</v>
      </c>
      <c r="B9" s="53">
        <v>1</v>
      </c>
      <c r="C9" s="50" t="s">
        <v>327</v>
      </c>
      <c r="D9" s="53" t="s">
        <v>27</v>
      </c>
      <c r="E9" s="51" t="s">
        <v>27</v>
      </c>
      <c r="F9" s="51" t="s">
        <v>27</v>
      </c>
      <c r="G9" s="53">
        <v>1</v>
      </c>
      <c r="H9" s="53" t="s">
        <v>27</v>
      </c>
      <c r="I9" s="51" t="s">
        <v>27</v>
      </c>
      <c r="J9" s="53"/>
      <c r="K9" s="53" t="s">
        <v>29</v>
      </c>
      <c r="L9" s="50" t="s">
        <v>27</v>
      </c>
      <c r="M9" s="50" t="s">
        <v>27</v>
      </c>
      <c r="N9" s="50" t="s">
        <v>27</v>
      </c>
      <c r="O9" s="50" t="s">
        <v>27</v>
      </c>
      <c r="P9" s="50" t="s">
        <v>27</v>
      </c>
      <c r="Q9" s="52" t="s">
        <v>27</v>
      </c>
      <c r="R9" s="54" t="s">
        <v>27</v>
      </c>
      <c r="S9" s="54" t="s">
        <v>27</v>
      </c>
      <c r="T9" s="54" t="s">
        <v>27</v>
      </c>
      <c r="U9" s="50" t="s">
        <v>27</v>
      </c>
    </row>
    <row r="10" spans="1:21" ht="45" x14ac:dyDescent="0.25">
      <c r="A10" s="57" t="s">
        <v>332</v>
      </c>
      <c r="B10" s="2">
        <v>1</v>
      </c>
      <c r="C10" s="4" t="s">
        <v>327</v>
      </c>
      <c r="D10" s="2" t="s">
        <v>27</v>
      </c>
      <c r="E10" s="3" t="s">
        <v>27</v>
      </c>
      <c r="F10" s="3" t="s">
        <v>333</v>
      </c>
      <c r="G10" s="2" t="s">
        <v>27</v>
      </c>
      <c r="H10" s="2" t="s">
        <v>27</v>
      </c>
      <c r="I10" s="3" t="s">
        <v>27</v>
      </c>
      <c r="J10" s="4" t="s">
        <v>27</v>
      </c>
      <c r="K10" s="4" t="s">
        <v>27</v>
      </c>
      <c r="L10" s="2"/>
      <c r="M10" s="2" t="s">
        <v>29</v>
      </c>
      <c r="N10" s="2" t="s">
        <v>29</v>
      </c>
      <c r="O10" s="2" t="s">
        <v>29</v>
      </c>
      <c r="P10" s="2" t="s">
        <v>29</v>
      </c>
      <c r="Q10" s="28" t="s">
        <v>27</v>
      </c>
      <c r="R10" s="5" t="s">
        <v>27</v>
      </c>
      <c r="S10" s="5" t="s">
        <v>27</v>
      </c>
      <c r="T10" s="5" t="s">
        <v>27</v>
      </c>
      <c r="U10" s="4" t="s">
        <v>27</v>
      </c>
    </row>
    <row r="11" spans="1:21" ht="45" x14ac:dyDescent="0.25">
      <c r="A11" s="58" t="s">
        <v>334</v>
      </c>
      <c r="B11" s="53">
        <v>1</v>
      </c>
      <c r="C11" s="50" t="s">
        <v>327</v>
      </c>
      <c r="D11" s="53" t="s">
        <v>27</v>
      </c>
      <c r="E11" s="51" t="s">
        <v>27</v>
      </c>
      <c r="F11" s="51" t="s">
        <v>244</v>
      </c>
      <c r="G11" s="53">
        <v>1</v>
      </c>
      <c r="H11" s="53" t="s">
        <v>27</v>
      </c>
      <c r="I11" s="51" t="s">
        <v>27</v>
      </c>
      <c r="J11" s="53" t="s">
        <v>29</v>
      </c>
      <c r="K11" s="53" t="s">
        <v>29</v>
      </c>
      <c r="L11" s="53" t="s">
        <v>29</v>
      </c>
      <c r="M11" s="50" t="s">
        <v>27</v>
      </c>
      <c r="N11" s="50" t="s">
        <v>27</v>
      </c>
      <c r="O11" s="50" t="s">
        <v>27</v>
      </c>
      <c r="P11" s="50" t="s">
        <v>27</v>
      </c>
      <c r="Q11" s="49" t="s">
        <v>27</v>
      </c>
      <c r="R11" s="54" t="s">
        <v>27</v>
      </c>
      <c r="S11" s="54" t="s">
        <v>27</v>
      </c>
      <c r="T11" s="54" t="s">
        <v>27</v>
      </c>
      <c r="U11" s="50" t="s">
        <v>27</v>
      </c>
    </row>
    <row r="12" spans="1:21" ht="60" x14ac:dyDescent="0.25">
      <c r="A12" s="59" t="s">
        <v>335</v>
      </c>
      <c r="B12" s="4">
        <v>1</v>
      </c>
      <c r="C12" s="4" t="s">
        <v>336</v>
      </c>
      <c r="D12" s="4" t="s">
        <v>27</v>
      </c>
      <c r="E12" s="3" t="s">
        <v>337</v>
      </c>
      <c r="F12" s="3" t="s">
        <v>338</v>
      </c>
      <c r="G12" s="4">
        <v>1</v>
      </c>
      <c r="H12" s="4" t="s">
        <v>27</v>
      </c>
      <c r="I12" s="3" t="s">
        <v>39</v>
      </c>
      <c r="J12" s="4" t="s">
        <v>27</v>
      </c>
      <c r="K12" s="4" t="s">
        <v>27</v>
      </c>
      <c r="L12" s="4" t="s">
        <v>29</v>
      </c>
      <c r="M12" s="4" t="s">
        <v>27</v>
      </c>
      <c r="N12" s="4" t="s">
        <v>27</v>
      </c>
      <c r="O12" s="4" t="s">
        <v>27</v>
      </c>
      <c r="P12" s="4" t="s">
        <v>27</v>
      </c>
      <c r="Q12" s="28" t="s">
        <v>27</v>
      </c>
      <c r="R12" s="6" t="s">
        <v>27</v>
      </c>
      <c r="S12" s="6" t="s">
        <v>27</v>
      </c>
      <c r="T12" s="6" t="s">
        <v>27</v>
      </c>
      <c r="U12" s="2" t="s">
        <v>27</v>
      </c>
    </row>
    <row r="13" spans="1:21" ht="75" x14ac:dyDescent="0.25">
      <c r="A13" s="58" t="s">
        <v>540</v>
      </c>
      <c r="B13" s="53">
        <v>8</v>
      </c>
      <c r="C13" s="50" t="s">
        <v>322</v>
      </c>
      <c r="D13" s="53">
        <v>2</v>
      </c>
      <c r="E13" s="51" t="s">
        <v>27</v>
      </c>
      <c r="F13" s="51" t="s">
        <v>541</v>
      </c>
      <c r="G13" s="53">
        <v>2</v>
      </c>
      <c r="H13" s="53" t="s">
        <v>27</v>
      </c>
      <c r="I13" s="51" t="s">
        <v>27</v>
      </c>
      <c r="J13" s="53" t="s">
        <v>29</v>
      </c>
      <c r="K13" s="53" t="s">
        <v>29</v>
      </c>
      <c r="L13" s="53" t="s">
        <v>27</v>
      </c>
      <c r="M13" s="50" t="s">
        <v>27</v>
      </c>
      <c r="N13" s="50" t="s">
        <v>27</v>
      </c>
      <c r="O13" s="50" t="s">
        <v>27</v>
      </c>
      <c r="P13" s="50" t="s">
        <v>27</v>
      </c>
      <c r="Q13" s="49" t="s">
        <v>27</v>
      </c>
      <c r="R13" s="54" t="s">
        <v>47</v>
      </c>
      <c r="S13" s="54" t="s">
        <v>27</v>
      </c>
      <c r="T13" s="54" t="s">
        <v>27</v>
      </c>
      <c r="U13" s="50" t="s">
        <v>27</v>
      </c>
    </row>
    <row r="14" spans="1:21" ht="45" x14ac:dyDescent="0.25">
      <c r="A14" s="57" t="s">
        <v>325</v>
      </c>
      <c r="B14" s="2" t="s">
        <v>27</v>
      </c>
      <c r="C14" s="4" t="s">
        <v>538</v>
      </c>
      <c r="D14" s="2">
        <v>9</v>
      </c>
      <c r="E14" s="3" t="s">
        <v>539</v>
      </c>
      <c r="F14" s="3" t="s">
        <v>27</v>
      </c>
      <c r="G14" s="4" t="s">
        <v>27</v>
      </c>
      <c r="H14" s="4" t="s">
        <v>27</v>
      </c>
      <c r="I14" s="3" t="s">
        <v>39</v>
      </c>
      <c r="J14" s="4" t="s">
        <v>27</v>
      </c>
      <c r="K14" s="4" t="s">
        <v>27</v>
      </c>
      <c r="L14" s="4" t="s">
        <v>27</v>
      </c>
      <c r="M14" s="4" t="s">
        <v>27</v>
      </c>
      <c r="N14" s="4" t="s">
        <v>27</v>
      </c>
      <c r="O14" s="4" t="s">
        <v>27</v>
      </c>
      <c r="P14" s="4" t="s">
        <v>27</v>
      </c>
      <c r="Q14" s="28" t="s">
        <v>27</v>
      </c>
      <c r="R14" s="5" t="s">
        <v>27</v>
      </c>
      <c r="S14" s="5" t="s">
        <v>47</v>
      </c>
      <c r="T14" s="5" t="s">
        <v>27</v>
      </c>
      <c r="U14" s="4" t="s">
        <v>27</v>
      </c>
    </row>
  </sheetData>
  <conditionalFormatting sqref="J1:J14">
    <cfRule type="cellIs" dxfId="6" priority="7" operator="equal">
      <formula>"X"</formula>
    </cfRule>
  </conditionalFormatting>
  <conditionalFormatting sqref="K1:K14">
    <cfRule type="cellIs" dxfId="5" priority="6" operator="equal">
      <formula>"X"</formula>
    </cfRule>
  </conditionalFormatting>
  <conditionalFormatting sqref="L1:L14">
    <cfRule type="cellIs" dxfId="4" priority="5" operator="equal">
      <formula>"X"</formula>
    </cfRule>
  </conditionalFormatting>
  <conditionalFormatting sqref="M1:M14">
    <cfRule type="cellIs" dxfId="3" priority="4" operator="equal">
      <formula>"X"</formula>
    </cfRule>
  </conditionalFormatting>
  <conditionalFormatting sqref="N1:N14">
    <cfRule type="cellIs" dxfId="2" priority="3" operator="equal">
      <formula>"X"</formula>
    </cfRule>
  </conditionalFormatting>
  <conditionalFormatting sqref="O1:O14">
    <cfRule type="cellIs" dxfId="1" priority="2" operator="equal">
      <formula>"X"</formula>
    </cfRule>
  </conditionalFormatting>
  <conditionalFormatting sqref="P1:P14">
    <cfRule type="cellIs" dxfId="0" priority="1" operator="equal">
      <formula>"X"</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2"/>
  <sheetViews>
    <sheetView workbookViewId="0">
      <pane xSplit="2" ySplit="2" topLeftCell="C3" activePane="bottomRight" state="frozen"/>
      <selection pane="topRight" activeCell="C1" sqref="C1"/>
      <selection pane="bottomLeft" activeCell="A3" sqref="A3"/>
      <selection pane="bottomRight" activeCell="A25" sqref="A25"/>
    </sheetView>
  </sheetViews>
  <sheetFormatPr defaultColWidth="12.5703125" defaultRowHeight="15.75" x14ac:dyDescent="0.25"/>
  <cols>
    <col min="1" max="1" width="24.42578125" style="31" customWidth="1"/>
    <col min="2" max="2" width="4.5703125" style="47" bestFit="1" customWidth="1"/>
    <col min="3" max="3" width="5.28515625" style="31" bestFit="1" customWidth="1"/>
    <col min="4" max="4" width="10.42578125" style="32" customWidth="1"/>
    <col min="5" max="5" width="11.5703125" style="31" customWidth="1"/>
    <col min="6" max="6" width="12.140625" style="31" bestFit="1" customWidth="1"/>
    <col min="7" max="7" width="6.28515625" style="31" bestFit="1" customWidth="1"/>
    <col min="8" max="8" width="87.42578125" style="32" customWidth="1"/>
    <col min="9" max="9" width="12.7109375" style="31" bestFit="1" customWidth="1"/>
    <col min="10" max="10" width="15.5703125" style="31" bestFit="1" customWidth="1"/>
    <col min="11" max="11" width="15" style="31" bestFit="1" customWidth="1"/>
    <col min="12" max="12" width="10.42578125" style="31" customWidth="1"/>
    <col min="13" max="13" width="9.85546875" style="31" customWidth="1"/>
    <col min="14" max="14" width="40.5703125" style="31" customWidth="1"/>
    <col min="15" max="16384" width="12.5703125" style="31"/>
  </cols>
  <sheetData>
    <row r="1" spans="1:14" s="39" customFormat="1" ht="21" customHeight="1" x14ac:dyDescent="0.25">
      <c r="A1" s="45" t="s">
        <v>358</v>
      </c>
      <c r="B1" s="46">
        <f>SUBTOTAL(9,B3:B140)</f>
        <v>19</v>
      </c>
      <c r="C1" s="40"/>
      <c r="D1" s="41"/>
      <c r="E1" s="40"/>
      <c r="F1" s="44" t="s">
        <v>359</v>
      </c>
      <c r="G1" s="43"/>
      <c r="H1" s="44"/>
      <c r="I1" s="43"/>
      <c r="J1" s="42"/>
      <c r="K1" s="41"/>
    </row>
    <row r="2" spans="1:14" s="37" customFormat="1" ht="54.95" customHeight="1" x14ac:dyDescent="0.25">
      <c r="A2" s="37" t="s">
        <v>360</v>
      </c>
      <c r="B2" s="48" t="s">
        <v>339</v>
      </c>
      <c r="C2" s="37" t="s">
        <v>3</v>
      </c>
      <c r="D2" s="38" t="s">
        <v>340</v>
      </c>
      <c r="E2" s="37" t="s">
        <v>345</v>
      </c>
      <c r="F2" s="37" t="s">
        <v>346</v>
      </c>
      <c r="G2" s="37" t="s">
        <v>10</v>
      </c>
      <c r="H2" s="38" t="s">
        <v>341</v>
      </c>
      <c r="I2" s="37" t="s">
        <v>342</v>
      </c>
      <c r="J2" s="38" t="s">
        <v>343</v>
      </c>
      <c r="K2" s="38" t="s">
        <v>344</v>
      </c>
      <c r="L2" s="37" t="s">
        <v>11</v>
      </c>
      <c r="M2" s="37" t="s">
        <v>361</v>
      </c>
      <c r="N2" s="37" t="s">
        <v>362</v>
      </c>
    </row>
    <row r="3" spans="1:14" x14ac:dyDescent="0.25">
      <c r="A3" s="36" t="s">
        <v>363</v>
      </c>
      <c r="B3" s="35" t="s">
        <v>364</v>
      </c>
      <c r="C3" s="35">
        <v>3</v>
      </c>
      <c r="D3" s="34" t="s">
        <v>365</v>
      </c>
      <c r="E3" s="33"/>
      <c r="F3" s="33"/>
      <c r="G3" s="33"/>
      <c r="H3" s="34"/>
      <c r="I3" s="33"/>
      <c r="J3" s="33"/>
      <c r="K3" s="33"/>
      <c r="L3" s="33"/>
      <c r="M3" s="33"/>
      <c r="N3" s="33" t="s">
        <v>366</v>
      </c>
    </row>
    <row r="4" spans="1:14" x14ac:dyDescent="0.25">
      <c r="A4" s="36" t="s">
        <v>367</v>
      </c>
      <c r="B4" s="35">
        <v>1</v>
      </c>
      <c r="C4" s="35">
        <v>4</v>
      </c>
      <c r="D4" s="34"/>
      <c r="E4" s="33"/>
      <c r="F4" s="33"/>
      <c r="G4" s="33" t="s">
        <v>357</v>
      </c>
      <c r="H4" s="34" t="s">
        <v>368</v>
      </c>
      <c r="I4" s="33">
        <v>1</v>
      </c>
      <c r="J4" s="33">
        <v>1</v>
      </c>
      <c r="K4" s="34" t="s">
        <v>369</v>
      </c>
      <c r="L4" s="33" t="s">
        <v>370</v>
      </c>
      <c r="M4" s="33" t="s">
        <v>370</v>
      </c>
      <c r="N4" s="33"/>
    </row>
    <row r="5" spans="1:14" x14ac:dyDescent="0.25">
      <c r="A5" s="36" t="s">
        <v>371</v>
      </c>
      <c r="B5" s="35">
        <v>1</v>
      </c>
      <c r="C5" s="35">
        <v>4</v>
      </c>
      <c r="D5" s="34"/>
      <c r="E5" s="33"/>
      <c r="F5" s="33" t="s">
        <v>353</v>
      </c>
      <c r="G5" s="33" t="s">
        <v>357</v>
      </c>
      <c r="H5" s="34" t="s">
        <v>372</v>
      </c>
      <c r="I5" s="33">
        <v>1</v>
      </c>
      <c r="J5" s="33">
        <v>1</v>
      </c>
      <c r="K5" s="34" t="s">
        <v>369</v>
      </c>
      <c r="L5" s="33" t="s">
        <v>370</v>
      </c>
      <c r="M5" s="33" t="s">
        <v>370</v>
      </c>
      <c r="N5" s="33"/>
    </row>
    <row r="6" spans="1:14" x14ac:dyDescent="0.25">
      <c r="A6" s="36" t="s">
        <v>373</v>
      </c>
      <c r="B6" s="35">
        <v>1</v>
      </c>
      <c r="C6" s="35">
        <v>3</v>
      </c>
      <c r="D6" s="34"/>
      <c r="E6" s="33"/>
      <c r="F6" s="33" t="s">
        <v>351</v>
      </c>
      <c r="G6" s="33" t="s">
        <v>357</v>
      </c>
      <c r="H6" s="34" t="s">
        <v>374</v>
      </c>
      <c r="I6" s="33">
        <v>1</v>
      </c>
      <c r="J6" s="33">
        <v>1</v>
      </c>
      <c r="K6" s="33"/>
      <c r="L6" s="33" t="s">
        <v>370</v>
      </c>
      <c r="M6" s="33" t="s">
        <v>370</v>
      </c>
      <c r="N6" s="33"/>
    </row>
    <row r="7" spans="1:14" x14ac:dyDescent="0.25">
      <c r="A7" s="36" t="s">
        <v>375</v>
      </c>
      <c r="B7" s="35">
        <v>1</v>
      </c>
      <c r="C7" s="35">
        <v>3</v>
      </c>
      <c r="D7" s="34"/>
      <c r="E7" s="33"/>
      <c r="F7" s="33" t="s">
        <v>347</v>
      </c>
      <c r="G7" s="33" t="s">
        <v>357</v>
      </c>
      <c r="H7" s="34" t="s">
        <v>376</v>
      </c>
      <c r="I7" s="33">
        <v>1</v>
      </c>
      <c r="J7" s="33">
        <v>1</v>
      </c>
      <c r="K7" s="33"/>
      <c r="L7" s="33" t="s">
        <v>370</v>
      </c>
      <c r="M7" s="33" t="s">
        <v>370</v>
      </c>
      <c r="N7" s="33"/>
    </row>
    <row r="8" spans="1:14" x14ac:dyDescent="0.25">
      <c r="A8" s="36" t="s">
        <v>377</v>
      </c>
      <c r="B8" s="35">
        <v>1</v>
      </c>
      <c r="C8" s="35">
        <v>3</v>
      </c>
      <c r="D8" s="34"/>
      <c r="E8" s="33"/>
      <c r="F8" s="33" t="s">
        <v>349</v>
      </c>
      <c r="G8" s="33" t="s">
        <v>357</v>
      </c>
      <c r="H8" s="34" t="s">
        <v>378</v>
      </c>
      <c r="I8" s="33">
        <v>1</v>
      </c>
      <c r="J8" s="33">
        <v>1</v>
      </c>
      <c r="K8" s="33"/>
      <c r="L8" s="33" t="s">
        <v>370</v>
      </c>
      <c r="M8" s="33" t="s">
        <v>370</v>
      </c>
      <c r="N8" s="33"/>
    </row>
    <row r="9" spans="1:14" x14ac:dyDescent="0.25">
      <c r="A9" s="36" t="s">
        <v>379</v>
      </c>
      <c r="B9" s="35">
        <v>1</v>
      </c>
      <c r="C9" s="35">
        <v>3</v>
      </c>
      <c r="D9" s="34"/>
      <c r="E9" s="33"/>
      <c r="F9" s="33" t="s">
        <v>347</v>
      </c>
      <c r="G9" s="33" t="s">
        <v>357</v>
      </c>
      <c r="H9" s="34" t="s">
        <v>380</v>
      </c>
      <c r="I9" s="33">
        <v>1</v>
      </c>
      <c r="J9" s="33">
        <v>1</v>
      </c>
      <c r="K9" s="33"/>
      <c r="L9" s="33" t="s">
        <v>370</v>
      </c>
      <c r="M9" s="33" t="s">
        <v>370</v>
      </c>
      <c r="N9" s="33"/>
    </row>
    <row r="10" spans="1:14" x14ac:dyDescent="0.25">
      <c r="A10" s="36" t="s">
        <v>381</v>
      </c>
      <c r="B10" s="35">
        <v>1</v>
      </c>
      <c r="C10" s="35">
        <v>3</v>
      </c>
      <c r="D10" s="34"/>
      <c r="E10" s="33"/>
      <c r="F10" s="33" t="s">
        <v>348</v>
      </c>
      <c r="G10" s="33"/>
      <c r="H10" s="34" t="s">
        <v>382</v>
      </c>
      <c r="I10" s="33">
        <v>1</v>
      </c>
      <c r="J10" s="33">
        <v>1</v>
      </c>
      <c r="K10" s="33"/>
      <c r="L10" s="33" t="s">
        <v>370</v>
      </c>
      <c r="M10" s="33" t="s">
        <v>370</v>
      </c>
      <c r="N10" s="33"/>
    </row>
    <row r="11" spans="1:14" x14ac:dyDescent="0.25">
      <c r="A11" s="36" t="s">
        <v>383</v>
      </c>
      <c r="B11" s="35">
        <v>1</v>
      </c>
      <c r="C11" s="35">
        <v>2</v>
      </c>
      <c r="D11" s="34"/>
      <c r="E11" s="33"/>
      <c r="F11" s="33" t="s">
        <v>355</v>
      </c>
      <c r="G11" s="33" t="s">
        <v>357</v>
      </c>
      <c r="H11" s="34" t="s">
        <v>384</v>
      </c>
      <c r="I11" s="33">
        <v>1</v>
      </c>
      <c r="J11" s="33">
        <v>0</v>
      </c>
      <c r="K11" s="33"/>
      <c r="L11" s="33" t="s">
        <v>370</v>
      </c>
      <c r="M11" s="33" t="s">
        <v>370</v>
      </c>
      <c r="N11" s="33"/>
    </row>
    <row r="12" spans="1:14" x14ac:dyDescent="0.25">
      <c r="A12" s="36" t="s">
        <v>385</v>
      </c>
      <c r="B12" s="35">
        <v>1</v>
      </c>
      <c r="C12" s="35">
        <v>2</v>
      </c>
      <c r="D12" s="34"/>
      <c r="E12" s="33"/>
      <c r="F12" s="33" t="s">
        <v>355</v>
      </c>
      <c r="G12" s="33"/>
      <c r="H12" s="34" t="s">
        <v>386</v>
      </c>
      <c r="I12" s="33">
        <v>1</v>
      </c>
      <c r="J12" s="33">
        <v>0</v>
      </c>
      <c r="K12" s="33"/>
      <c r="L12" s="33" t="s">
        <v>370</v>
      </c>
      <c r="M12" s="33" t="s">
        <v>370</v>
      </c>
      <c r="N12" s="33"/>
    </row>
    <row r="13" spans="1:14" x14ac:dyDescent="0.25">
      <c r="A13" s="36" t="s">
        <v>387</v>
      </c>
      <c r="B13" s="35">
        <v>1</v>
      </c>
      <c r="C13" s="35">
        <v>2</v>
      </c>
      <c r="D13" s="34"/>
      <c r="E13" s="33" t="s">
        <v>388</v>
      </c>
      <c r="F13" s="33" t="s">
        <v>388</v>
      </c>
      <c r="G13" s="33" t="s">
        <v>357</v>
      </c>
      <c r="H13" s="34" t="s">
        <v>220</v>
      </c>
      <c r="I13" s="33">
        <v>1</v>
      </c>
      <c r="J13" s="33">
        <v>0</v>
      </c>
      <c r="K13" s="33"/>
      <c r="L13" s="33" t="s">
        <v>370</v>
      </c>
      <c r="M13" s="33" t="s">
        <v>370</v>
      </c>
      <c r="N13" s="33"/>
    </row>
    <row r="14" spans="1:14" x14ac:dyDescent="0.25">
      <c r="A14" s="36" t="s">
        <v>389</v>
      </c>
      <c r="B14" s="35">
        <v>1</v>
      </c>
      <c r="C14" s="35">
        <v>2</v>
      </c>
      <c r="D14" s="34"/>
      <c r="E14" s="33" t="s">
        <v>354</v>
      </c>
      <c r="F14" s="33" t="s">
        <v>354</v>
      </c>
      <c r="G14" s="33" t="s">
        <v>357</v>
      </c>
      <c r="H14" s="34" t="s">
        <v>390</v>
      </c>
      <c r="I14" s="33">
        <v>1</v>
      </c>
      <c r="J14" s="33">
        <v>0</v>
      </c>
      <c r="K14" s="33"/>
      <c r="L14" s="33" t="s">
        <v>370</v>
      </c>
      <c r="M14" s="33" t="s">
        <v>370</v>
      </c>
      <c r="N14" s="33"/>
    </row>
    <row r="15" spans="1:14" x14ac:dyDescent="0.25">
      <c r="A15" s="36" t="s">
        <v>391</v>
      </c>
      <c r="B15" s="35">
        <v>1</v>
      </c>
      <c r="C15" s="35">
        <v>2</v>
      </c>
      <c r="D15" s="34"/>
      <c r="E15" s="33"/>
      <c r="F15" s="33" t="s">
        <v>347</v>
      </c>
      <c r="G15" s="33" t="s">
        <v>357</v>
      </c>
      <c r="H15" s="34" t="s">
        <v>392</v>
      </c>
      <c r="I15" s="33">
        <v>1</v>
      </c>
      <c r="J15" s="33">
        <v>0</v>
      </c>
      <c r="K15" s="33"/>
      <c r="L15" s="33" t="s">
        <v>370</v>
      </c>
      <c r="M15" s="33" t="s">
        <v>370</v>
      </c>
      <c r="N15" s="33"/>
    </row>
    <row r="16" spans="1:14" x14ac:dyDescent="0.25">
      <c r="A16" s="36" t="s">
        <v>393</v>
      </c>
      <c r="B16" s="35">
        <v>1</v>
      </c>
      <c r="C16" s="35">
        <v>2</v>
      </c>
      <c r="D16" s="34"/>
      <c r="E16" s="33"/>
      <c r="F16" s="33" t="s">
        <v>347</v>
      </c>
      <c r="G16" s="33" t="s">
        <v>357</v>
      </c>
      <c r="H16" s="34" t="s">
        <v>394</v>
      </c>
      <c r="I16" s="33">
        <v>1</v>
      </c>
      <c r="J16" s="33">
        <v>0</v>
      </c>
      <c r="K16" s="33"/>
      <c r="L16" s="33" t="s">
        <v>370</v>
      </c>
      <c r="M16" s="33" t="s">
        <v>370</v>
      </c>
      <c r="N16" s="33"/>
    </row>
    <row r="17" spans="1:14" x14ac:dyDescent="0.25">
      <c r="A17" s="36" t="s">
        <v>395</v>
      </c>
      <c r="B17" s="35">
        <v>1</v>
      </c>
      <c r="C17" s="35">
        <v>2</v>
      </c>
      <c r="D17" s="34" t="s">
        <v>396</v>
      </c>
      <c r="E17" s="33"/>
      <c r="F17" s="33" t="s">
        <v>356</v>
      </c>
      <c r="G17" s="33"/>
      <c r="H17" s="34" t="s">
        <v>397</v>
      </c>
      <c r="I17" s="33">
        <v>1</v>
      </c>
      <c r="J17" s="33">
        <v>0</v>
      </c>
      <c r="K17" s="33"/>
      <c r="L17" s="33" t="s">
        <v>370</v>
      </c>
      <c r="M17" s="33" t="s">
        <v>370</v>
      </c>
      <c r="N17" s="33"/>
    </row>
    <row r="18" spans="1:14" x14ac:dyDescent="0.25">
      <c r="A18" s="36" t="s">
        <v>398</v>
      </c>
      <c r="B18" s="35">
        <v>1</v>
      </c>
      <c r="C18" s="35">
        <v>1</v>
      </c>
      <c r="D18" s="34" t="s">
        <v>399</v>
      </c>
      <c r="E18" s="33" t="s">
        <v>352</v>
      </c>
      <c r="F18" s="33" t="s">
        <v>352</v>
      </c>
      <c r="G18" s="33"/>
      <c r="H18" s="34" t="s">
        <v>400</v>
      </c>
      <c r="I18" s="33">
        <v>1</v>
      </c>
      <c r="J18" s="33">
        <v>0</v>
      </c>
      <c r="K18" s="33"/>
      <c r="L18" s="33" t="s">
        <v>370</v>
      </c>
      <c r="M18" s="33" t="s">
        <v>370</v>
      </c>
      <c r="N18" s="33"/>
    </row>
    <row r="19" spans="1:14" x14ac:dyDescent="0.25">
      <c r="A19" s="36" t="s">
        <v>401</v>
      </c>
      <c r="B19" s="35">
        <v>1</v>
      </c>
      <c r="C19" s="35">
        <v>1</v>
      </c>
      <c r="D19" s="34"/>
      <c r="E19" s="33" t="s">
        <v>350</v>
      </c>
      <c r="F19" s="33" t="s">
        <v>350</v>
      </c>
      <c r="G19" s="33"/>
      <c r="H19" s="34" t="s">
        <v>396</v>
      </c>
      <c r="I19" s="33">
        <v>1</v>
      </c>
      <c r="J19" s="33">
        <v>0</v>
      </c>
      <c r="K19" s="33"/>
      <c r="L19" s="33" t="s">
        <v>370</v>
      </c>
      <c r="M19" s="33" t="s">
        <v>370</v>
      </c>
      <c r="N19" s="33"/>
    </row>
    <row r="20" spans="1:14" x14ac:dyDescent="0.25">
      <c r="A20" s="36" t="s">
        <v>402</v>
      </c>
      <c r="B20" s="35">
        <v>1</v>
      </c>
      <c r="C20" s="35">
        <v>1</v>
      </c>
      <c r="D20" s="34"/>
      <c r="E20" s="33"/>
      <c r="F20" s="33" t="s">
        <v>355</v>
      </c>
      <c r="G20" s="33"/>
      <c r="H20" s="34" t="s">
        <v>403</v>
      </c>
      <c r="I20" s="33">
        <v>1</v>
      </c>
      <c r="J20" s="33">
        <v>0</v>
      </c>
      <c r="K20" s="33"/>
      <c r="L20" s="33" t="s">
        <v>370</v>
      </c>
      <c r="M20" s="33" t="s">
        <v>370</v>
      </c>
      <c r="N20" s="33"/>
    </row>
    <row r="21" spans="1:14" x14ac:dyDescent="0.25">
      <c r="A21" s="36" t="s">
        <v>404</v>
      </c>
      <c r="B21" s="35">
        <v>1</v>
      </c>
      <c r="C21" s="35">
        <v>1</v>
      </c>
      <c r="D21" s="34"/>
      <c r="E21" s="33" t="s">
        <v>388</v>
      </c>
      <c r="F21" s="33" t="s">
        <v>388</v>
      </c>
      <c r="G21" s="33" t="s">
        <v>357</v>
      </c>
      <c r="H21" s="34"/>
      <c r="I21" s="33">
        <v>1</v>
      </c>
      <c r="J21" s="33">
        <v>0</v>
      </c>
      <c r="K21" s="33"/>
      <c r="L21" s="33" t="s">
        <v>370</v>
      </c>
      <c r="M21" s="33" t="s">
        <v>370</v>
      </c>
      <c r="N21" s="33"/>
    </row>
    <row r="22" spans="1:14" x14ac:dyDescent="0.25">
      <c r="A22" s="36" t="s">
        <v>405</v>
      </c>
      <c r="B22" s="35">
        <v>1</v>
      </c>
      <c r="C22" s="35">
        <v>3</v>
      </c>
      <c r="D22" s="34"/>
      <c r="E22" s="33"/>
      <c r="F22" s="33" t="s">
        <v>356</v>
      </c>
      <c r="G22" s="33"/>
      <c r="H22" s="34" t="s">
        <v>406</v>
      </c>
      <c r="I22" s="33">
        <v>1</v>
      </c>
      <c r="J22" s="33">
        <v>1</v>
      </c>
      <c r="K22" s="33"/>
      <c r="L22" s="33" t="s">
        <v>370</v>
      </c>
      <c r="M22" s="33" t="s">
        <v>370</v>
      </c>
      <c r="N22" s="33" t="s">
        <v>407</v>
      </c>
    </row>
  </sheetData>
  <autoFilter ref="A2:N2" xr:uid="{00000000-0009-0000-0000-000003000000}">
    <sortState xmlns:xlrd2="http://schemas.microsoft.com/office/spreadsheetml/2017/richdata2" ref="A3:N21">
      <sortCondition descending="1" ref="B2:B2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G53"/>
  <sheetViews>
    <sheetView topLeftCell="A18" workbookViewId="0">
      <selection activeCell="B49" sqref="B49"/>
    </sheetView>
  </sheetViews>
  <sheetFormatPr defaultRowHeight="15" x14ac:dyDescent="0.25"/>
  <cols>
    <col min="1" max="1" width="2.7109375" customWidth="1"/>
  </cols>
  <sheetData>
    <row r="2" spans="2:7" ht="18.75" x14ac:dyDescent="0.3">
      <c r="B2" s="21" t="s">
        <v>525</v>
      </c>
    </row>
    <row r="3" spans="2:7" x14ac:dyDescent="0.25">
      <c r="B3" s="16" t="s">
        <v>411</v>
      </c>
    </row>
    <row r="5" spans="2:7" ht="15.75" x14ac:dyDescent="0.25">
      <c r="B5" s="22" t="s">
        <v>412</v>
      </c>
    </row>
    <row r="6" spans="2:7" x14ac:dyDescent="0.25">
      <c r="B6" s="16" t="s">
        <v>413</v>
      </c>
      <c r="C6" s="16"/>
      <c r="D6" s="16"/>
      <c r="E6" s="16"/>
      <c r="F6" s="16"/>
      <c r="G6" s="16"/>
    </row>
    <row r="7" spans="2:7" x14ac:dyDescent="0.25">
      <c r="B7" s="16" t="s">
        <v>414</v>
      </c>
      <c r="C7" s="16"/>
      <c r="D7" s="16"/>
      <c r="E7" s="16"/>
      <c r="F7" s="16"/>
      <c r="G7" s="16"/>
    </row>
    <row r="8" spans="2:7" x14ac:dyDescent="0.25">
      <c r="B8" s="16" t="s">
        <v>415</v>
      </c>
      <c r="C8" s="16"/>
      <c r="D8" s="16"/>
      <c r="E8" s="16"/>
      <c r="F8" s="16"/>
      <c r="G8" s="16"/>
    </row>
    <row r="9" spans="2:7" x14ac:dyDescent="0.25">
      <c r="B9" s="16" t="s">
        <v>416</v>
      </c>
      <c r="C9" s="16"/>
      <c r="D9" s="16"/>
      <c r="E9" s="16"/>
      <c r="F9" s="16"/>
      <c r="G9" s="16"/>
    </row>
    <row r="10" spans="2:7" x14ac:dyDescent="0.25">
      <c r="B10" s="16" t="s">
        <v>417</v>
      </c>
      <c r="C10" s="16"/>
      <c r="D10" s="16"/>
      <c r="E10" s="16"/>
      <c r="F10" s="16"/>
      <c r="G10" s="16"/>
    </row>
    <row r="11" spans="2:7" x14ac:dyDescent="0.25">
      <c r="B11" s="16" t="s">
        <v>418</v>
      </c>
      <c r="C11" s="16"/>
      <c r="D11" s="16"/>
      <c r="E11" s="16"/>
      <c r="F11" s="16"/>
      <c r="G11" s="16"/>
    </row>
    <row r="12" spans="2:7" x14ac:dyDescent="0.25">
      <c r="B12" s="16" t="s">
        <v>419</v>
      </c>
      <c r="C12" s="16"/>
      <c r="D12" s="16"/>
      <c r="E12" s="16"/>
      <c r="F12" s="16"/>
      <c r="G12" s="16"/>
    </row>
    <row r="13" spans="2:7" x14ac:dyDescent="0.25">
      <c r="B13" s="16" t="s">
        <v>420</v>
      </c>
      <c r="C13" s="16"/>
      <c r="D13" s="16"/>
      <c r="E13" s="16"/>
      <c r="F13" s="16"/>
      <c r="G13" s="16"/>
    </row>
    <row r="14" spans="2:7" x14ac:dyDescent="0.25">
      <c r="B14" s="16" t="s">
        <v>421</v>
      </c>
      <c r="C14" s="16"/>
      <c r="D14" s="16"/>
      <c r="E14" s="16"/>
      <c r="F14" s="16"/>
      <c r="G14" s="16"/>
    </row>
    <row r="16" spans="2:7" ht="15.75" x14ac:dyDescent="0.25">
      <c r="B16" s="20" t="s">
        <v>422</v>
      </c>
    </row>
    <row r="17" spans="2:7" x14ac:dyDescent="0.25">
      <c r="B17" s="16" t="s">
        <v>423</v>
      </c>
      <c r="C17" s="16"/>
      <c r="D17" s="16"/>
      <c r="E17" s="16"/>
      <c r="F17" s="16"/>
      <c r="G17" s="16"/>
    </row>
    <row r="18" spans="2:7" x14ac:dyDescent="0.25">
      <c r="B18" s="16" t="s">
        <v>424</v>
      </c>
      <c r="C18" s="16"/>
      <c r="D18" s="16"/>
      <c r="E18" s="16"/>
      <c r="F18" s="16"/>
      <c r="G18" s="16"/>
    </row>
    <row r="19" spans="2:7" x14ac:dyDescent="0.25">
      <c r="B19" s="16" t="s">
        <v>425</v>
      </c>
      <c r="C19" s="16"/>
      <c r="D19" s="16"/>
      <c r="E19" s="16"/>
      <c r="F19" s="16"/>
      <c r="G19" s="16"/>
    </row>
    <row r="20" spans="2:7" x14ac:dyDescent="0.25">
      <c r="B20" s="16" t="s">
        <v>426</v>
      </c>
      <c r="C20" s="16"/>
      <c r="D20" s="16"/>
      <c r="E20" s="16"/>
      <c r="F20" s="16"/>
      <c r="G20" s="16"/>
    </row>
    <row r="21" spans="2:7" x14ac:dyDescent="0.25">
      <c r="B21" s="16" t="s">
        <v>427</v>
      </c>
      <c r="C21" s="16"/>
      <c r="D21" s="16"/>
      <c r="E21" s="16"/>
      <c r="F21" s="16"/>
      <c r="G21" s="16"/>
    </row>
    <row r="22" spans="2:7" x14ac:dyDescent="0.25">
      <c r="B22" s="16" t="s">
        <v>428</v>
      </c>
      <c r="C22" s="16"/>
      <c r="D22" s="16"/>
      <c r="E22" s="16"/>
      <c r="F22" s="16"/>
      <c r="G22" s="16"/>
    </row>
    <row r="23" spans="2:7" x14ac:dyDescent="0.25">
      <c r="B23" s="16" t="s">
        <v>429</v>
      </c>
      <c r="C23" s="16"/>
      <c r="D23" s="16"/>
      <c r="E23" s="16"/>
      <c r="F23" s="16"/>
      <c r="G23" s="16"/>
    </row>
    <row r="24" spans="2:7" x14ac:dyDescent="0.25">
      <c r="B24" s="16" t="s">
        <v>430</v>
      </c>
      <c r="C24" s="16"/>
      <c r="D24" s="16"/>
      <c r="E24" s="16"/>
      <c r="F24" s="16"/>
      <c r="G24" s="16"/>
    </row>
    <row r="25" spans="2:7" x14ac:dyDescent="0.25">
      <c r="B25" s="16" t="s">
        <v>431</v>
      </c>
      <c r="C25" s="16"/>
      <c r="D25" s="16"/>
      <c r="E25" s="16"/>
      <c r="F25" s="16"/>
      <c r="G25" s="16"/>
    </row>
    <row r="26" spans="2:7" x14ac:dyDescent="0.25">
      <c r="B26" s="16" t="s">
        <v>432</v>
      </c>
      <c r="C26" s="16"/>
      <c r="D26" s="16"/>
      <c r="E26" s="16"/>
      <c r="F26" s="16"/>
      <c r="G26" s="16"/>
    </row>
    <row r="27" spans="2:7" x14ac:dyDescent="0.25">
      <c r="B27" s="16" t="s">
        <v>433</v>
      </c>
      <c r="C27" s="16"/>
      <c r="D27" s="16"/>
      <c r="E27" s="16"/>
      <c r="F27" s="16"/>
      <c r="G27" s="16"/>
    </row>
    <row r="28" spans="2:7" x14ac:dyDescent="0.25">
      <c r="B28" s="16" t="s">
        <v>434</v>
      </c>
      <c r="C28" s="16"/>
      <c r="D28" s="16"/>
      <c r="E28" s="16"/>
      <c r="F28" s="16"/>
      <c r="G28" s="16"/>
    </row>
    <row r="29" spans="2:7" x14ac:dyDescent="0.25">
      <c r="B29" s="16" t="s">
        <v>435</v>
      </c>
      <c r="C29" s="16"/>
      <c r="D29" s="16"/>
      <c r="E29" s="16"/>
      <c r="F29" s="16"/>
      <c r="G29" s="16"/>
    </row>
    <row r="30" spans="2:7" x14ac:dyDescent="0.25">
      <c r="B30" s="16" t="s">
        <v>436</v>
      </c>
      <c r="C30" s="16"/>
      <c r="D30" s="16"/>
      <c r="E30" s="16"/>
      <c r="F30" s="16"/>
      <c r="G30" s="16"/>
    </row>
    <row r="31" spans="2:7" x14ac:dyDescent="0.25">
      <c r="B31" s="16" t="s">
        <v>410</v>
      </c>
      <c r="C31" s="16"/>
      <c r="D31" s="16"/>
      <c r="E31" s="16"/>
      <c r="F31" s="16"/>
      <c r="G31" s="16"/>
    </row>
    <row r="32" spans="2:7" x14ac:dyDescent="0.25">
      <c r="B32" s="16" t="s">
        <v>437</v>
      </c>
      <c r="C32" s="16"/>
      <c r="D32" s="16"/>
      <c r="E32" s="16"/>
      <c r="F32" s="16"/>
      <c r="G32" s="16"/>
    </row>
    <row r="33" spans="2:7" x14ac:dyDescent="0.25">
      <c r="B33" s="16" t="s">
        <v>438</v>
      </c>
      <c r="C33" s="16"/>
      <c r="D33" s="16"/>
      <c r="E33" s="16"/>
      <c r="F33" s="16"/>
      <c r="G33" s="16"/>
    </row>
    <row r="34" spans="2:7" x14ac:dyDescent="0.25">
      <c r="B34" s="16" t="s">
        <v>439</v>
      </c>
      <c r="C34" s="16"/>
      <c r="D34" s="16"/>
      <c r="E34" s="16"/>
      <c r="F34" s="16"/>
      <c r="G34" s="16"/>
    </row>
    <row r="35" spans="2:7" x14ac:dyDescent="0.25">
      <c r="B35" s="16" t="s">
        <v>440</v>
      </c>
      <c r="C35" s="16"/>
      <c r="D35" s="16"/>
      <c r="E35" s="16"/>
      <c r="F35" s="16"/>
      <c r="G35" s="16"/>
    </row>
    <row r="36" spans="2:7" x14ac:dyDescent="0.25">
      <c r="B36" s="16" t="s">
        <v>528</v>
      </c>
      <c r="C36" s="16"/>
      <c r="D36" s="16"/>
      <c r="E36" s="16"/>
      <c r="F36" s="16"/>
      <c r="G36" s="16"/>
    </row>
    <row r="37" spans="2:7" x14ac:dyDescent="0.25">
      <c r="B37" s="16" t="s">
        <v>535</v>
      </c>
      <c r="C37" s="16"/>
      <c r="D37" s="16"/>
      <c r="E37" s="16"/>
      <c r="F37" s="16"/>
      <c r="G37" s="16"/>
    </row>
    <row r="38" spans="2:7" x14ac:dyDescent="0.25">
      <c r="B38" s="16" t="s">
        <v>537</v>
      </c>
      <c r="C38" s="16"/>
      <c r="D38" s="16"/>
      <c r="E38" s="16"/>
      <c r="F38" s="16"/>
      <c r="G38" s="16"/>
    </row>
    <row r="39" spans="2:7" x14ac:dyDescent="0.25">
      <c r="B39" s="16" t="s">
        <v>536</v>
      </c>
      <c r="C39" s="16"/>
      <c r="D39" s="16"/>
      <c r="E39" s="16"/>
      <c r="F39" s="16"/>
      <c r="G39" s="16"/>
    </row>
    <row r="40" spans="2:7" x14ac:dyDescent="0.25">
      <c r="B40" s="16" t="s">
        <v>527</v>
      </c>
      <c r="C40" s="16"/>
      <c r="D40" s="16"/>
      <c r="E40" s="16"/>
      <c r="F40" s="16"/>
      <c r="G40" s="16"/>
    </row>
    <row r="41" spans="2:7" x14ac:dyDescent="0.25">
      <c r="B41" s="16" t="s">
        <v>529</v>
      </c>
      <c r="C41" s="16"/>
      <c r="D41" s="16"/>
      <c r="E41" s="16"/>
      <c r="F41" s="16"/>
      <c r="G41" s="16"/>
    </row>
    <row r="42" spans="2:7" x14ac:dyDescent="0.25">
      <c r="B42" s="16" t="s">
        <v>530</v>
      </c>
      <c r="C42" s="16"/>
      <c r="D42" s="16"/>
      <c r="E42" s="16"/>
      <c r="F42" s="16"/>
      <c r="G42" s="16"/>
    </row>
    <row r="43" spans="2:7" x14ac:dyDescent="0.25">
      <c r="B43" s="16" t="s">
        <v>531</v>
      </c>
      <c r="C43" s="16"/>
      <c r="D43" s="16"/>
      <c r="E43" s="16"/>
      <c r="F43" s="16"/>
      <c r="G43" s="16"/>
    </row>
    <row r="44" spans="2:7" x14ac:dyDescent="0.25">
      <c r="B44" s="16" t="s">
        <v>542</v>
      </c>
      <c r="C44" s="16"/>
      <c r="D44" s="16"/>
      <c r="E44" s="16"/>
      <c r="F44" s="16"/>
      <c r="G44" s="16"/>
    </row>
    <row r="45" spans="2:7" x14ac:dyDescent="0.25">
      <c r="B45" s="63" t="s">
        <v>532</v>
      </c>
    </row>
    <row r="46" spans="2:7" x14ac:dyDescent="0.25">
      <c r="B46" s="63" t="s">
        <v>533</v>
      </c>
    </row>
    <row r="47" spans="2:7" x14ac:dyDescent="0.25">
      <c r="B47" s="63" t="s">
        <v>549</v>
      </c>
    </row>
    <row r="48" spans="2:7" ht="14.25" customHeight="1" x14ac:dyDescent="0.25">
      <c r="B48" s="63" t="s">
        <v>550</v>
      </c>
    </row>
    <row r="52" spans="2:2" x14ac:dyDescent="0.25">
      <c r="B52" s="16" t="s">
        <v>441</v>
      </c>
    </row>
    <row r="53" spans="2:2" x14ac:dyDescent="0.25">
      <c r="B53" s="16" t="s">
        <v>526</v>
      </c>
    </row>
  </sheetData>
  <pageMargins left="0.25" right="0.25" top="0.75" bottom="0.75" header="0.3" footer="0.3"/>
  <pageSetup paperSize="9"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vt:lpstr>
      <vt:lpstr>Deck Stats</vt:lpstr>
      <vt:lpstr>Unpurchasable</vt:lpstr>
      <vt:lpstr>Tleilaxu</vt:lpstr>
      <vt:lpstr>Changes and Features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Ibe Van Geel</dc:creator>
  <cp:keywords/>
  <dc:description/>
  <cp:lastModifiedBy>Jaxon J. Gluck</cp:lastModifiedBy>
  <cp:revision/>
  <dcterms:created xsi:type="dcterms:W3CDTF">2022-03-14T19:24:22Z</dcterms:created>
  <dcterms:modified xsi:type="dcterms:W3CDTF">2023-11-30T23:15:47Z</dcterms:modified>
  <cp:category/>
  <cp:contentStatus/>
</cp:coreProperties>
</file>